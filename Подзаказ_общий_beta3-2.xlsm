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120" yWindow="105" windowWidth="15120" windowHeight="8010"/>
  </bookViews>
  <sheets>
    <sheet name="Складам" sheetId="1" r:id="rId1"/>
    <sheet name="Шаблон_пополнения" sheetId="3" r:id="rId2"/>
    <sheet name="УК_пополнение" sheetId="4" r:id="rId3"/>
    <sheet name="База" sheetId="2" r:id="rId4"/>
    <sheet name="Квоты" sheetId="5" r:id="rId5"/>
    <sheet name="Адресаты" sheetId="6" r:id="rId6"/>
  </sheets>
  <definedNames>
    <definedName name="_MailAutoSig" localSheetId="5">Адресаты!$A$6</definedName>
    <definedName name="_xlnm._FilterDatabase" localSheetId="3" hidden="1">База!$A$1:$J$25</definedName>
  </definedNames>
  <calcPr calcId="162913"/>
</workbook>
</file>

<file path=xl/calcChain.xml><?xml version="1.0" encoding="utf-8"?>
<calcChain xmlns="http://schemas.openxmlformats.org/spreadsheetml/2006/main">
  <c r="K19" i="4" l="1"/>
  <c r="J19" i="4"/>
  <c r="I19" i="4"/>
  <c r="K18" i="4"/>
  <c r="J18" i="4"/>
  <c r="I18" i="4"/>
  <c r="K13" i="4"/>
  <c r="J13" i="4"/>
  <c r="I13" i="4"/>
  <c r="K12" i="4"/>
  <c r="J12" i="4"/>
  <c r="I12" i="4"/>
  <c r="K11" i="4"/>
  <c r="J11" i="4"/>
  <c r="I11" i="4"/>
  <c r="K9" i="4"/>
  <c r="J9" i="4"/>
  <c r="I9" i="4"/>
  <c r="K6" i="4"/>
  <c r="J6" i="4"/>
  <c r="I6" i="4"/>
  <c r="H10" i="6" l="1"/>
  <c r="G10" i="6"/>
  <c r="E10" i="6"/>
  <c r="D10" i="6"/>
  <c r="B10" i="6"/>
  <c r="A10" i="6"/>
  <c r="A4" i="6" l="1"/>
  <c r="H4" i="6" l="1"/>
  <c r="G4" i="6"/>
  <c r="E4" i="6"/>
  <c r="D4" i="6"/>
  <c r="B4" i="6" l="1"/>
  <c r="C15" i="2" l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C72" i="2"/>
  <c r="B72" i="2" s="1"/>
  <c r="C73" i="2"/>
  <c r="B73" i="2" s="1"/>
  <c r="C74" i="2"/>
  <c r="B74" i="2" s="1"/>
  <c r="C75" i="2"/>
  <c r="B75" i="2" s="1"/>
  <c r="C76" i="2"/>
  <c r="B76" i="2" s="1"/>
  <c r="C77" i="2"/>
  <c r="B77" i="2" s="1"/>
  <c r="C78" i="2"/>
  <c r="B78" i="2" s="1"/>
  <c r="C79" i="2"/>
  <c r="B79" i="2" s="1"/>
  <c r="C80" i="2"/>
  <c r="B80" i="2" s="1"/>
  <c r="C81" i="2"/>
  <c r="B81" i="2" s="1"/>
  <c r="C82" i="2"/>
  <c r="B82" i="2" s="1"/>
  <c r="C83" i="2"/>
  <c r="B83" i="2" s="1"/>
  <c r="C84" i="2"/>
  <c r="B84" i="2" s="1"/>
  <c r="C85" i="2"/>
  <c r="B85" i="2" s="1"/>
  <c r="C86" i="2"/>
  <c r="B86" i="2" s="1"/>
  <c r="C87" i="2"/>
  <c r="B87" i="2" s="1"/>
  <c r="C88" i="2"/>
  <c r="B88" i="2" s="1"/>
  <c r="C89" i="2"/>
  <c r="B89" i="2" s="1"/>
  <c r="C90" i="2"/>
  <c r="B90" i="2" s="1"/>
  <c r="C91" i="2"/>
  <c r="B91" i="2" s="1"/>
  <c r="C92" i="2"/>
  <c r="B92" i="2" s="1"/>
  <c r="C93" i="2"/>
  <c r="B93" i="2" s="1"/>
  <c r="C94" i="2"/>
  <c r="B94" i="2" s="1"/>
  <c r="C95" i="2"/>
  <c r="B95" i="2" s="1"/>
  <c r="C96" i="2"/>
  <c r="B96" i="2" s="1"/>
  <c r="C97" i="2"/>
  <c r="B97" i="2" s="1"/>
  <c r="C98" i="2"/>
  <c r="B98" i="2" s="1"/>
  <c r="C99" i="2"/>
  <c r="B99" i="2" s="1"/>
  <c r="C100" i="2"/>
  <c r="B100" i="2" s="1"/>
  <c r="C1" i="2"/>
  <c r="H19" i="4"/>
  <c r="G19" i="4"/>
  <c r="F19" i="4"/>
  <c r="E19" i="4"/>
  <c r="D19" i="4"/>
  <c r="C19" i="4"/>
  <c r="H18" i="4"/>
  <c r="G18" i="4"/>
  <c r="F18" i="4"/>
  <c r="E18" i="4"/>
  <c r="D18" i="4"/>
  <c r="C18" i="4"/>
  <c r="H13" i="4"/>
  <c r="G13" i="4"/>
  <c r="F13" i="4"/>
  <c r="E13" i="4"/>
  <c r="D13" i="4"/>
  <c r="H12" i="4"/>
  <c r="G12" i="4"/>
  <c r="F12" i="4"/>
  <c r="E12" i="4"/>
  <c r="D12" i="4"/>
  <c r="H11" i="4"/>
  <c r="G11" i="4"/>
  <c r="F11" i="4"/>
  <c r="E11" i="4"/>
  <c r="D11" i="4"/>
  <c r="H9" i="4"/>
  <c r="G9" i="4"/>
  <c r="F9" i="4"/>
  <c r="E9" i="4"/>
  <c r="D9" i="4"/>
  <c r="H6" i="4"/>
  <c r="G6" i="4"/>
  <c r="F6" i="4"/>
  <c r="E6" i="4"/>
  <c r="D6" i="4"/>
  <c r="F2" i="3"/>
  <c r="B41" i="2" l="1"/>
  <c r="B40" i="2"/>
  <c r="B20" i="2"/>
  <c r="B57" i="2"/>
  <c r="B37" i="2"/>
  <c r="B17" i="2"/>
  <c r="B56" i="2"/>
  <c r="B36" i="2"/>
  <c r="B16" i="2"/>
  <c r="B55" i="2"/>
  <c r="B35" i="2"/>
  <c r="B14" i="2"/>
  <c r="B18" i="2"/>
  <c r="B54" i="2"/>
  <c r="B34" i="2"/>
  <c r="B13" i="2"/>
  <c r="B39" i="2"/>
  <c r="B38" i="2"/>
  <c r="B53" i="2"/>
  <c r="B33" i="2"/>
  <c r="B12" i="2"/>
  <c r="B52" i="2"/>
  <c r="B32" i="2"/>
  <c r="B51" i="2"/>
  <c r="B31" i="2"/>
  <c r="B19" i="2"/>
  <c r="B50" i="2"/>
  <c r="B21" i="2"/>
  <c r="B49" i="2"/>
  <c r="B8" i="2"/>
  <c r="B48" i="2"/>
  <c r="B47" i="2"/>
  <c r="B6" i="2"/>
  <c r="B46" i="2"/>
  <c r="B45" i="2"/>
  <c r="B4" i="2"/>
  <c r="B44" i="2"/>
  <c r="B24" i="2"/>
  <c r="B3" i="2"/>
  <c r="B43" i="2"/>
  <c r="B23" i="2"/>
  <c r="B2" i="2"/>
  <c r="B42" i="2"/>
  <c r="B22" i="2"/>
  <c r="B15" i="2"/>
  <c r="K14" i="4"/>
  <c r="I14" i="4"/>
  <c r="J14" i="4"/>
  <c r="K8" i="4"/>
  <c r="K10" i="4" s="1"/>
  <c r="I8" i="4"/>
  <c r="I10" i="4" s="1"/>
  <c r="J8" i="4"/>
  <c r="J10" i="4" s="1"/>
  <c r="K4" i="4"/>
  <c r="J4" i="4"/>
  <c r="K3" i="4"/>
  <c r="I4" i="4"/>
  <c r="I3" i="4"/>
  <c r="J3" i="4"/>
  <c r="B1" i="2"/>
  <c r="B30" i="2"/>
  <c r="B25" i="2"/>
  <c r="B11" i="2"/>
  <c r="B10" i="2"/>
  <c r="B9" i="2"/>
  <c r="B7" i="2"/>
  <c r="B5" i="2"/>
  <c r="B29" i="2"/>
  <c r="B28" i="2"/>
  <c r="B27" i="2"/>
  <c r="B26" i="2"/>
  <c r="N2" i="3"/>
  <c r="M2" i="3"/>
  <c r="I5" i="4" l="1"/>
  <c r="I7" i="4" s="1"/>
  <c r="K5" i="4"/>
  <c r="K7" i="4" s="1"/>
  <c r="J5" i="4"/>
  <c r="J7" i="4" s="1"/>
  <c r="R2" i="3"/>
  <c r="J17" i="4" l="1"/>
  <c r="K17" i="4"/>
  <c r="K16" i="4"/>
  <c r="I17" i="4"/>
  <c r="I16" i="4"/>
  <c r="J16" i="4"/>
  <c r="G2" i="3"/>
  <c r="H2" i="3"/>
  <c r="D2" i="3"/>
  <c r="E2" i="3"/>
  <c r="G17" i="4"/>
  <c r="H17" i="4"/>
  <c r="E17" i="4"/>
  <c r="F17" i="4"/>
  <c r="C17" i="4"/>
  <c r="D17" i="4"/>
  <c r="G16" i="4"/>
  <c r="H16" i="4"/>
  <c r="E16" i="4"/>
  <c r="F16" i="4"/>
  <c r="C16" i="4"/>
  <c r="D16" i="4"/>
  <c r="C9" i="4" l="1"/>
  <c r="C6" i="4"/>
  <c r="B1" i="4"/>
  <c r="C13" i="4" l="1"/>
  <c r="C12" i="4"/>
  <c r="J2" i="3" l="1"/>
  <c r="L2" i="3" s="1"/>
  <c r="B2" i="3"/>
  <c r="I2" i="3" l="1"/>
  <c r="K2" i="3" s="1"/>
  <c r="A31" i="2"/>
  <c r="A35" i="2"/>
  <c r="A39" i="2"/>
  <c r="A43" i="2"/>
  <c r="A47" i="2"/>
  <c r="A51" i="2"/>
  <c r="A55" i="2"/>
  <c r="A59" i="2"/>
  <c r="A63" i="2"/>
  <c r="A67" i="2"/>
  <c r="A71" i="2"/>
  <c r="A75" i="2"/>
  <c r="A79" i="2"/>
  <c r="A83" i="2"/>
  <c r="A87" i="2"/>
  <c r="A91" i="2"/>
  <c r="A95" i="2"/>
  <c r="A99" i="2"/>
  <c r="A49" i="2" l="1"/>
  <c r="A94" i="2"/>
  <c r="A82" i="2"/>
  <c r="A70" i="2"/>
  <c r="A58" i="2"/>
  <c r="A46" i="2"/>
  <c r="A34" i="2"/>
  <c r="A54" i="2"/>
  <c r="A38" i="2"/>
  <c r="A97" i="2"/>
  <c r="A89" i="2"/>
  <c r="A77" i="2"/>
  <c r="A73" i="2"/>
  <c r="A61" i="2"/>
  <c r="A41" i="2"/>
  <c r="A33" i="2"/>
  <c r="A85" i="2"/>
  <c r="A69" i="2"/>
  <c r="A53" i="2"/>
  <c r="A37" i="2"/>
  <c r="A100" i="2"/>
  <c r="A96" i="2"/>
  <c r="A92" i="2"/>
  <c r="A88" i="2"/>
  <c r="A84" i="2"/>
  <c r="A80" i="2"/>
  <c r="A76" i="2"/>
  <c r="A72" i="2"/>
  <c r="A68" i="2"/>
  <c r="A64" i="2"/>
  <c r="A60" i="2"/>
  <c r="A56" i="2"/>
  <c r="A52" i="2"/>
  <c r="A48" i="2"/>
  <c r="A44" i="2"/>
  <c r="A40" i="2"/>
  <c r="A36" i="2"/>
  <c r="A32" i="2"/>
  <c r="A90" i="2"/>
  <c r="A78" i="2"/>
  <c r="A62" i="2"/>
  <c r="A50" i="2"/>
  <c r="A66" i="2"/>
  <c r="A65" i="2"/>
  <c r="A57" i="2"/>
  <c r="A93" i="2"/>
  <c r="A81" i="2"/>
  <c r="A45" i="2"/>
  <c r="A98" i="2"/>
  <c r="A86" i="2"/>
  <c r="A74" i="2"/>
  <c r="A42" i="2"/>
  <c r="E3" i="4"/>
  <c r="A2" i="2" l="1"/>
  <c r="A16" i="2"/>
  <c r="H4" i="4"/>
  <c r="F3" i="4"/>
  <c r="D3" i="4"/>
  <c r="D4" i="4"/>
  <c r="G4" i="4"/>
  <c r="G3" i="4"/>
  <c r="E4" i="4"/>
  <c r="E5" i="4" s="1"/>
  <c r="E7" i="4" s="1"/>
  <c r="D8" i="4"/>
  <c r="D10" i="4" s="1"/>
  <c r="G8" i="4"/>
  <c r="G10" i="4" s="1"/>
  <c r="A1" i="2"/>
  <c r="H14" i="4"/>
  <c r="F14" i="4"/>
  <c r="G14" i="4"/>
  <c r="E14" i="4"/>
  <c r="D14" i="4"/>
  <c r="H3" i="4"/>
  <c r="F4" i="4"/>
  <c r="E8" i="4"/>
  <c r="E10" i="4" s="1"/>
  <c r="F8" i="4"/>
  <c r="F10" i="4" s="1"/>
  <c r="H8" i="4"/>
  <c r="H10" i="4" s="1"/>
  <c r="C11" i="4"/>
  <c r="A10" i="2"/>
  <c r="A13" i="2"/>
  <c r="A20" i="2"/>
  <c r="A15" i="2"/>
  <c r="A12" i="2"/>
  <c r="A21" i="2"/>
  <c r="A24" i="2"/>
  <c r="A27" i="2"/>
  <c r="A28" i="2"/>
  <c r="A17" i="2"/>
  <c r="A22" i="2"/>
  <c r="A29" i="2"/>
  <c r="A25" i="2"/>
  <c r="A26" i="2"/>
  <c r="A18" i="2"/>
  <c r="A30" i="2"/>
  <c r="A14" i="2"/>
  <c r="A19" i="2"/>
  <c r="A23" i="2"/>
  <c r="A11" i="2"/>
  <c r="A4" i="2"/>
  <c r="A8" i="2"/>
  <c r="A9" i="2"/>
  <c r="A3" i="2"/>
  <c r="A5" i="2"/>
  <c r="A6" i="2"/>
  <c r="A7" i="2"/>
  <c r="AS7" i="1" l="1"/>
  <c r="AS13" i="1"/>
  <c r="AS19" i="1"/>
  <c r="AS25" i="1"/>
  <c r="AS31" i="1"/>
  <c r="AS37" i="1"/>
  <c r="AS43" i="1"/>
  <c r="AS49" i="1"/>
  <c r="AT39" i="1"/>
  <c r="AU39" i="1"/>
  <c r="AS16" i="1"/>
  <c r="AT46" i="1"/>
  <c r="AU40" i="1"/>
  <c r="AS29" i="1"/>
  <c r="AU17" i="1"/>
  <c r="AT24" i="1"/>
  <c r="AT7" i="1"/>
  <c r="AT13" i="1"/>
  <c r="AT19" i="1"/>
  <c r="AT25" i="1"/>
  <c r="AT31" i="1"/>
  <c r="AT37" i="1"/>
  <c r="AT43" i="1"/>
  <c r="AT49" i="1"/>
  <c r="AT45" i="1"/>
  <c r="AU33" i="1"/>
  <c r="AS22" i="1"/>
  <c r="AT34" i="1"/>
  <c r="AV16" i="1"/>
  <c r="AT23" i="1"/>
  <c r="AT35" i="1"/>
  <c r="AV47" i="1"/>
  <c r="AS30" i="1"/>
  <c r="AU12" i="1"/>
  <c r="AU7" i="1"/>
  <c r="AU13" i="1"/>
  <c r="AU19" i="1"/>
  <c r="AU25" i="1"/>
  <c r="AU31" i="1"/>
  <c r="AU37" i="1"/>
  <c r="AU43" i="1"/>
  <c r="AU49" i="1"/>
  <c r="AU21" i="1"/>
  <c r="AU45" i="1"/>
  <c r="AS28" i="1"/>
  <c r="AU28" i="1"/>
  <c r="AV22" i="1"/>
  <c r="AT29" i="1"/>
  <c r="AT47" i="1"/>
  <c r="AV17" i="1"/>
  <c r="AT36" i="1"/>
  <c r="AV7" i="1"/>
  <c r="AV13" i="1"/>
  <c r="AV19" i="1"/>
  <c r="AV25" i="1"/>
  <c r="AV31" i="1"/>
  <c r="AV37" i="1"/>
  <c r="AV43" i="1"/>
  <c r="AV49" i="1"/>
  <c r="AU27" i="1"/>
  <c r="AV45" i="1"/>
  <c r="AT22" i="1"/>
  <c r="AV40" i="1"/>
  <c r="AS41" i="1"/>
  <c r="AU23" i="1"/>
  <c r="AS24" i="1"/>
  <c r="AT48" i="1"/>
  <c r="AS8" i="1"/>
  <c r="AS14" i="1"/>
  <c r="AS20" i="1"/>
  <c r="AS26" i="1"/>
  <c r="AS32" i="1"/>
  <c r="AS38" i="1"/>
  <c r="AS44" i="1"/>
  <c r="AS50" i="1"/>
  <c r="AT33" i="1"/>
  <c r="AV27" i="1"/>
  <c r="AT16" i="1"/>
  <c r="AU34" i="1"/>
  <c r="AS23" i="1"/>
  <c r="AU29" i="1"/>
  <c r="AV41" i="1"/>
  <c r="AS36" i="1"/>
  <c r="AU42" i="1"/>
  <c r="AT8" i="1"/>
  <c r="AT14" i="1"/>
  <c r="AT20" i="1"/>
  <c r="AT26" i="1"/>
  <c r="AT32" i="1"/>
  <c r="AT38" i="1"/>
  <c r="AT44" i="1"/>
  <c r="AT50" i="1"/>
  <c r="AT27" i="1"/>
  <c r="AV33" i="1"/>
  <c r="AS34" i="1"/>
  <c r="AU22" i="1"/>
  <c r="AV28" i="1"/>
  <c r="AS47" i="1"/>
  <c r="AU35" i="1"/>
  <c r="AV29" i="1"/>
  <c r="AT18" i="1"/>
  <c r="AU8" i="1"/>
  <c r="AU14" i="1"/>
  <c r="AU20" i="1"/>
  <c r="AU26" i="1"/>
  <c r="AU32" i="1"/>
  <c r="AU38" i="1"/>
  <c r="AU44" i="1"/>
  <c r="AU50" i="1"/>
  <c r="AU15" i="1"/>
  <c r="AV39" i="1"/>
  <c r="AT28" i="1"/>
  <c r="AV34" i="1"/>
  <c r="AT17" i="1"/>
  <c r="AU47" i="1"/>
  <c r="AV35" i="1"/>
  <c r="AS48" i="1"/>
  <c r="AV12" i="1"/>
  <c r="AV8" i="1"/>
  <c r="AV14" i="1"/>
  <c r="AV20" i="1"/>
  <c r="AV26" i="1"/>
  <c r="AV32" i="1"/>
  <c r="AV38" i="1"/>
  <c r="AV44" i="1"/>
  <c r="AV50" i="1"/>
  <c r="AT21" i="1"/>
  <c r="AV21" i="1"/>
  <c r="AS40" i="1"/>
  <c r="AT40" i="1"/>
  <c r="AU46" i="1"/>
  <c r="AS17" i="1"/>
  <c r="AU41" i="1"/>
  <c r="AS18" i="1"/>
  <c r="AS42" i="1"/>
  <c r="AT42" i="1"/>
  <c r="AS9" i="1"/>
  <c r="AS15" i="1"/>
  <c r="AS21" i="1"/>
  <c r="AS27" i="1"/>
  <c r="AS33" i="1"/>
  <c r="AS39" i="1"/>
  <c r="AS45" i="1"/>
  <c r="AT15" i="1"/>
  <c r="AV15" i="1"/>
  <c r="AS46" i="1"/>
  <c r="AU16" i="1"/>
  <c r="AV46" i="1"/>
  <c r="AS35" i="1"/>
  <c r="AT41" i="1"/>
  <c r="AV23" i="1"/>
  <c r="AT30" i="1"/>
  <c r="AT9" i="1"/>
  <c r="AU9" i="1"/>
  <c r="AV42" i="1"/>
  <c r="AV9" i="1"/>
  <c r="AV30" i="1"/>
  <c r="AS10" i="1"/>
  <c r="AV48" i="1"/>
  <c r="AT10" i="1"/>
  <c r="AU48" i="1"/>
  <c r="AU10" i="1"/>
  <c r="AV18" i="1"/>
  <c r="AV10" i="1"/>
  <c r="AU24" i="1"/>
  <c r="AS11" i="1"/>
  <c r="AU36" i="1"/>
  <c r="AT11" i="1"/>
  <c r="AU30" i="1"/>
  <c r="AU11" i="1"/>
  <c r="AV24" i="1"/>
  <c r="AV11" i="1"/>
  <c r="AU18" i="1"/>
  <c r="AS12" i="1"/>
  <c r="AV36" i="1"/>
  <c r="AT12" i="1"/>
  <c r="AV6" i="1"/>
  <c r="AU6" i="1"/>
  <c r="AT6" i="1"/>
  <c r="AS6" i="1"/>
  <c r="AM7" i="1"/>
  <c r="AM13" i="1"/>
  <c r="AM19" i="1"/>
  <c r="AM25" i="1"/>
  <c r="AM31" i="1"/>
  <c r="AM37" i="1"/>
  <c r="AM43" i="1"/>
  <c r="AM49" i="1"/>
  <c r="AP14" i="1"/>
  <c r="AM33" i="1"/>
  <c r="AN33" i="1"/>
  <c r="AO33" i="1"/>
  <c r="AP27" i="1"/>
  <c r="AM28" i="1"/>
  <c r="AN34" i="1"/>
  <c r="AO34" i="1"/>
  <c r="AM29" i="1"/>
  <c r="AM12" i="1"/>
  <c r="AN7" i="1"/>
  <c r="AN13" i="1"/>
  <c r="AN19" i="1"/>
  <c r="AN25" i="1"/>
  <c r="AN31" i="1"/>
  <c r="AN37" i="1"/>
  <c r="AN43" i="1"/>
  <c r="AN49" i="1"/>
  <c r="AP50" i="1"/>
  <c r="AM45" i="1"/>
  <c r="AN21" i="1"/>
  <c r="AP15" i="1"/>
  <c r="AM34" i="1"/>
  <c r="AN40" i="1"/>
  <c r="AO40" i="1"/>
  <c r="AP34" i="1"/>
  <c r="AO35" i="1"/>
  <c r="AN48" i="1"/>
  <c r="AP24" i="1"/>
  <c r="AO7" i="1"/>
  <c r="AO13" i="1"/>
  <c r="AO19" i="1"/>
  <c r="AO25" i="1"/>
  <c r="AO31" i="1"/>
  <c r="AO37" i="1"/>
  <c r="AO43" i="1"/>
  <c r="AO49" i="1"/>
  <c r="AP44" i="1"/>
  <c r="AM39" i="1"/>
  <c r="AN39" i="1"/>
  <c r="AO45" i="1"/>
  <c r="AP39" i="1"/>
  <c r="AN16" i="1"/>
  <c r="AO46" i="1"/>
  <c r="AP22" i="1"/>
  <c r="AP35" i="1"/>
  <c r="AO36" i="1"/>
  <c r="AP7" i="1"/>
  <c r="AP13" i="1"/>
  <c r="AP19" i="1"/>
  <c r="AP25" i="1"/>
  <c r="AP31" i="1"/>
  <c r="AP37" i="1"/>
  <c r="AP43" i="1"/>
  <c r="AP49" i="1"/>
  <c r="AP20" i="1"/>
  <c r="AN15" i="1"/>
  <c r="AO21" i="1"/>
  <c r="AM16" i="1"/>
  <c r="AO16" i="1"/>
  <c r="AP40" i="1"/>
  <c r="AO29" i="1"/>
  <c r="AO18" i="1"/>
  <c r="AM8" i="1"/>
  <c r="AM14" i="1"/>
  <c r="AM20" i="1"/>
  <c r="AM26" i="1"/>
  <c r="AM32" i="1"/>
  <c r="AM38" i="1"/>
  <c r="AM44" i="1"/>
  <c r="AM50" i="1"/>
  <c r="AO44" i="1"/>
  <c r="AP38" i="1"/>
  <c r="AM15" i="1"/>
  <c r="AO15" i="1"/>
  <c r="AP21" i="1"/>
  <c r="AM46" i="1"/>
  <c r="AN22" i="1"/>
  <c r="AM23" i="1"/>
  <c r="AM48" i="1"/>
  <c r="AP18" i="1"/>
  <c r="AN8" i="1"/>
  <c r="AN14" i="1"/>
  <c r="AN20" i="1"/>
  <c r="AN26" i="1"/>
  <c r="AN32" i="1"/>
  <c r="AN38" i="1"/>
  <c r="AN44" i="1"/>
  <c r="AN50" i="1"/>
  <c r="AO50" i="1"/>
  <c r="AP32" i="1"/>
  <c r="AM27" i="1"/>
  <c r="AN27" i="1"/>
  <c r="AO39" i="1"/>
  <c r="AP33" i="1"/>
  <c r="AM22" i="1"/>
  <c r="AN46" i="1"/>
  <c r="AO28" i="1"/>
  <c r="AP46" i="1"/>
  <c r="AN47" i="1"/>
  <c r="AM18" i="1"/>
  <c r="AO8" i="1"/>
  <c r="AO14" i="1"/>
  <c r="AO20" i="1"/>
  <c r="AO26" i="1"/>
  <c r="AO32" i="1"/>
  <c r="AO38" i="1"/>
  <c r="AP26" i="1"/>
  <c r="AM21" i="1"/>
  <c r="AN45" i="1"/>
  <c r="AO27" i="1"/>
  <c r="AP45" i="1"/>
  <c r="AM40" i="1"/>
  <c r="AN28" i="1"/>
  <c r="AM17" i="1"/>
  <c r="AP29" i="1"/>
  <c r="AO42" i="1"/>
  <c r="AP8" i="1"/>
  <c r="AN35" i="1"/>
  <c r="AM42" i="1"/>
  <c r="AP12" i="1"/>
  <c r="AM9" i="1"/>
  <c r="AN17" i="1"/>
  <c r="AO12" i="1"/>
  <c r="AN9" i="1"/>
  <c r="AN11" i="1"/>
  <c r="AN42" i="1"/>
  <c r="AP42" i="1"/>
  <c r="AO9" i="1"/>
  <c r="AM47" i="1"/>
  <c r="AP47" i="1"/>
  <c r="AN24" i="1"/>
  <c r="AP9" i="1"/>
  <c r="AN29" i="1"/>
  <c r="AO24" i="1"/>
  <c r="AM10" i="1"/>
  <c r="AM41" i="1"/>
  <c r="AM24" i="1"/>
  <c r="AN10" i="1"/>
  <c r="AM35" i="1"/>
  <c r="AM36" i="1"/>
  <c r="AP36" i="1"/>
  <c r="AO10" i="1"/>
  <c r="AO22" i="1"/>
  <c r="AN23" i="1"/>
  <c r="AN36" i="1"/>
  <c r="AP48" i="1"/>
  <c r="AP10" i="1"/>
  <c r="AP16" i="1"/>
  <c r="AP28" i="1"/>
  <c r="AN41" i="1"/>
  <c r="AM30" i="1"/>
  <c r="AM11" i="1"/>
  <c r="AO47" i="1"/>
  <c r="AO30" i="1"/>
  <c r="AO11" i="1"/>
  <c r="AO17" i="1"/>
  <c r="AO23" i="1"/>
  <c r="AO41" i="1"/>
  <c r="AO48" i="1"/>
  <c r="AP11" i="1"/>
  <c r="AP17" i="1"/>
  <c r="AP23" i="1"/>
  <c r="AP41" i="1"/>
  <c r="AP30" i="1"/>
  <c r="AN12" i="1"/>
  <c r="AN18" i="1"/>
  <c r="AN30" i="1"/>
  <c r="AP6" i="1"/>
  <c r="AO6" i="1"/>
  <c r="AN6" i="1"/>
  <c r="AM6" i="1"/>
  <c r="AG7" i="1"/>
  <c r="AG13" i="1"/>
  <c r="AG19" i="1"/>
  <c r="AG25" i="1"/>
  <c r="AG31" i="1"/>
  <c r="AG37" i="1"/>
  <c r="AG43" i="1"/>
  <c r="AG49" i="1"/>
  <c r="AI15" i="1"/>
  <c r="AJ45" i="1"/>
  <c r="AG34" i="1"/>
  <c r="AI28" i="1"/>
  <c r="AJ40" i="1"/>
  <c r="AG41" i="1"/>
  <c r="AI11" i="1"/>
  <c r="AG36" i="1"/>
  <c r="AI48" i="1"/>
  <c r="AJ48" i="1"/>
  <c r="AH7" i="1"/>
  <c r="AH13" i="1"/>
  <c r="AH19" i="1"/>
  <c r="AH25" i="1"/>
  <c r="AH31" i="1"/>
  <c r="AH37" i="1"/>
  <c r="AH43" i="1"/>
  <c r="AH49" i="1"/>
  <c r="AI27" i="1"/>
  <c r="AJ33" i="1"/>
  <c r="AG46" i="1"/>
  <c r="AI16" i="1"/>
  <c r="AG23" i="1"/>
  <c r="AH41" i="1"/>
  <c r="AI23" i="1"/>
  <c r="AI24" i="1"/>
  <c r="AI7" i="1"/>
  <c r="AI13" i="1"/>
  <c r="AI19" i="1"/>
  <c r="AI25" i="1"/>
  <c r="AI31" i="1"/>
  <c r="AI37" i="1"/>
  <c r="AI43" i="1"/>
  <c r="AI49" i="1"/>
  <c r="AH45" i="1"/>
  <c r="AI45" i="1"/>
  <c r="AG28" i="1"/>
  <c r="AH34" i="1"/>
  <c r="AJ16" i="1"/>
  <c r="AH17" i="1"/>
  <c r="AI47" i="1"/>
  <c r="AI12" i="1"/>
  <c r="AJ7" i="1"/>
  <c r="AJ13" i="1"/>
  <c r="AJ19" i="1"/>
  <c r="AJ25" i="1"/>
  <c r="AJ31" i="1"/>
  <c r="AJ37" i="1"/>
  <c r="AJ43" i="1"/>
  <c r="AJ49" i="1"/>
  <c r="AI21" i="1"/>
  <c r="AJ39" i="1"/>
  <c r="AG40" i="1"/>
  <c r="AH46" i="1"/>
  <c r="AI34" i="1"/>
  <c r="AG29" i="1"/>
  <c r="AH29" i="1"/>
  <c r="AJ35" i="1"/>
  <c r="AG48" i="1"/>
  <c r="AI42" i="1"/>
  <c r="AJ42" i="1"/>
  <c r="AG8" i="1"/>
  <c r="AG14" i="1"/>
  <c r="AG20" i="1"/>
  <c r="AG26" i="1"/>
  <c r="AG32" i="1"/>
  <c r="AG38" i="1"/>
  <c r="AG44" i="1"/>
  <c r="AG50" i="1"/>
  <c r="AH39" i="1"/>
  <c r="AI39" i="1"/>
  <c r="AG22" i="1"/>
  <c r="AH40" i="1"/>
  <c r="AI40" i="1"/>
  <c r="AG17" i="1"/>
  <c r="AH35" i="1"/>
  <c r="AJ29" i="1"/>
  <c r="AI18" i="1"/>
  <c r="AH8" i="1"/>
  <c r="AH14" i="1"/>
  <c r="AH20" i="1"/>
  <c r="AH26" i="1"/>
  <c r="AH32" i="1"/>
  <c r="AH38" i="1"/>
  <c r="AH44" i="1"/>
  <c r="AH50" i="1"/>
  <c r="AH33" i="1"/>
  <c r="AJ27" i="1"/>
  <c r="AH22" i="1"/>
  <c r="AJ28" i="1"/>
  <c r="AH11" i="1"/>
  <c r="AJ41" i="1"/>
  <c r="AH12" i="1"/>
  <c r="AI8" i="1"/>
  <c r="AI14" i="1"/>
  <c r="AI20" i="1"/>
  <c r="AI26" i="1"/>
  <c r="AI32" i="1"/>
  <c r="AI38" i="1"/>
  <c r="AI44" i="1"/>
  <c r="AI50" i="1"/>
  <c r="AH27" i="1"/>
  <c r="AJ21" i="1"/>
  <c r="AH28" i="1"/>
  <c r="AJ22" i="1"/>
  <c r="AH23" i="1"/>
  <c r="AI41" i="1"/>
  <c r="AH24" i="1"/>
  <c r="AJ8" i="1"/>
  <c r="AJ14" i="1"/>
  <c r="AJ20" i="1"/>
  <c r="AJ26" i="1"/>
  <c r="AJ32" i="1"/>
  <c r="AJ38" i="1"/>
  <c r="AJ44" i="1"/>
  <c r="AJ50" i="1"/>
  <c r="AH21" i="1"/>
  <c r="AJ15" i="1"/>
  <c r="AH16" i="1"/>
  <c r="AI46" i="1"/>
  <c r="AJ34" i="1"/>
  <c r="AG47" i="1"/>
  <c r="AI17" i="1"/>
  <c r="AI35" i="1"/>
  <c r="AH42" i="1"/>
  <c r="AJ12" i="1"/>
  <c r="AG9" i="1"/>
  <c r="AG15" i="1"/>
  <c r="AG21" i="1"/>
  <c r="AG27" i="1"/>
  <c r="AG33" i="1"/>
  <c r="AG39" i="1"/>
  <c r="AG45" i="1"/>
  <c r="AH15" i="1"/>
  <c r="AI33" i="1"/>
  <c r="AG16" i="1"/>
  <c r="AI22" i="1"/>
  <c r="AJ46" i="1"/>
  <c r="AG35" i="1"/>
  <c r="AH47" i="1"/>
  <c r="AI29" i="1"/>
  <c r="AG30" i="1"/>
  <c r="AJ18" i="1"/>
  <c r="AH9" i="1"/>
  <c r="AI30" i="1"/>
  <c r="AI9" i="1"/>
  <c r="AG18" i="1"/>
  <c r="AJ9" i="1"/>
  <c r="AH30" i="1"/>
  <c r="AG10" i="1"/>
  <c r="AG24" i="1"/>
  <c r="AH10" i="1"/>
  <c r="AG42" i="1"/>
  <c r="AJ36" i="1"/>
  <c r="AI10" i="1"/>
  <c r="AH18" i="1"/>
  <c r="AJ10" i="1"/>
  <c r="AG12" i="1"/>
  <c r="AG11" i="1"/>
  <c r="AJ47" i="1"/>
  <c r="AH48" i="1"/>
  <c r="AJ30" i="1"/>
  <c r="AI36" i="1"/>
  <c r="AJ11" i="1"/>
  <c r="AJ17" i="1"/>
  <c r="AJ23" i="1"/>
  <c r="AH36" i="1"/>
  <c r="AJ24" i="1"/>
  <c r="AJ6" i="1"/>
  <c r="AI6" i="1"/>
  <c r="AH6" i="1"/>
  <c r="AG6" i="1"/>
  <c r="F5" i="4"/>
  <c r="F7" i="4" s="1"/>
  <c r="H5" i="4"/>
  <c r="H7" i="4" s="1"/>
  <c r="D5" i="4"/>
  <c r="D7" i="4" s="1"/>
  <c r="C3" i="4"/>
  <c r="C8" i="4"/>
  <c r="C10" i="4" s="1"/>
  <c r="G5" i="4"/>
  <c r="G7" i="4" s="1"/>
  <c r="C4" i="4"/>
  <c r="C14" i="4"/>
  <c r="AA7" i="1"/>
  <c r="AA10" i="1"/>
  <c r="AA13" i="1"/>
  <c r="AA16" i="1"/>
  <c r="AA19" i="1"/>
  <c r="AA22" i="1"/>
  <c r="AA25" i="1"/>
  <c r="AA28" i="1"/>
  <c r="AA31" i="1"/>
  <c r="AA34" i="1"/>
  <c r="AA37" i="1"/>
  <c r="AA40" i="1"/>
  <c r="AA43" i="1"/>
  <c r="AA46" i="1"/>
  <c r="AA49" i="1"/>
  <c r="X49" i="1"/>
  <c r="E49" i="1"/>
  <c r="L48" i="1"/>
  <c r="R47" i="1"/>
  <c r="X46" i="1"/>
  <c r="E46" i="1"/>
  <c r="L45" i="1"/>
  <c r="R44" i="1"/>
  <c r="X43" i="1"/>
  <c r="E43" i="1"/>
  <c r="L42" i="1"/>
  <c r="R41" i="1"/>
  <c r="X40" i="1"/>
  <c r="E40" i="1"/>
  <c r="L34" i="1"/>
  <c r="R24" i="1"/>
  <c r="X14" i="1"/>
  <c r="E14" i="1"/>
  <c r="AB10" i="1"/>
  <c r="AB25" i="1"/>
  <c r="AB31" i="1"/>
  <c r="AB37" i="1"/>
  <c r="AB46" i="1"/>
  <c r="D49" i="1"/>
  <c r="W46" i="1"/>
  <c r="Q44" i="1"/>
  <c r="K42" i="1"/>
  <c r="W40" i="1"/>
  <c r="Q24" i="1"/>
  <c r="AC7" i="1"/>
  <c r="AC10" i="1"/>
  <c r="AC13" i="1"/>
  <c r="AC16" i="1"/>
  <c r="AC19" i="1"/>
  <c r="AC22" i="1"/>
  <c r="AC25" i="1"/>
  <c r="AC28" i="1"/>
  <c r="AC31" i="1"/>
  <c r="AC34" i="1"/>
  <c r="AC37" i="1"/>
  <c r="AC40" i="1"/>
  <c r="AC43" i="1"/>
  <c r="AC46" i="1"/>
  <c r="AC49" i="1"/>
  <c r="V49" i="1"/>
  <c r="C49" i="1"/>
  <c r="J48" i="1"/>
  <c r="P47" i="1"/>
  <c r="V46" i="1"/>
  <c r="C46" i="1"/>
  <c r="J45" i="1"/>
  <c r="P44" i="1"/>
  <c r="V43" i="1"/>
  <c r="C43" i="1"/>
  <c r="J42" i="1"/>
  <c r="P41" i="1"/>
  <c r="V40" i="1"/>
  <c r="C40" i="1"/>
  <c r="J34" i="1"/>
  <c r="P24" i="1"/>
  <c r="V14" i="1"/>
  <c r="C14" i="1"/>
  <c r="AD7" i="1"/>
  <c r="AD10" i="1"/>
  <c r="AD13" i="1"/>
  <c r="AD16" i="1"/>
  <c r="AD19" i="1"/>
  <c r="AD22" i="1"/>
  <c r="AD25" i="1"/>
  <c r="AD28" i="1"/>
  <c r="AD31" i="1"/>
  <c r="AD34" i="1"/>
  <c r="AD37" i="1"/>
  <c r="AD40" i="1"/>
  <c r="AD43" i="1"/>
  <c r="AD46" i="1"/>
  <c r="AD49" i="1"/>
  <c r="U49" i="1"/>
  <c r="B49" i="1"/>
  <c r="I48" i="1"/>
  <c r="O47" i="1"/>
  <c r="U46" i="1"/>
  <c r="B46" i="1"/>
  <c r="I45" i="1"/>
  <c r="O44" i="1"/>
  <c r="U43" i="1"/>
  <c r="B43" i="1"/>
  <c r="I42" i="1"/>
  <c r="O41" i="1"/>
  <c r="U40" i="1"/>
  <c r="B40" i="1"/>
  <c r="I34" i="1"/>
  <c r="O24" i="1"/>
  <c r="U14" i="1"/>
  <c r="B14" i="1"/>
  <c r="AA8" i="1"/>
  <c r="AA11" i="1"/>
  <c r="AA14" i="1"/>
  <c r="AA17" i="1"/>
  <c r="AA20" i="1"/>
  <c r="AA23" i="1"/>
  <c r="AA26" i="1"/>
  <c r="AA29" i="1"/>
  <c r="AA32" i="1"/>
  <c r="AA35" i="1"/>
  <c r="AA38" i="1"/>
  <c r="AA41" i="1"/>
  <c r="AA44" i="1"/>
  <c r="AA47" i="1"/>
  <c r="AA50" i="1"/>
  <c r="R49" i="1"/>
  <c r="X48" i="1"/>
  <c r="E48" i="1"/>
  <c r="L47" i="1"/>
  <c r="R46" i="1"/>
  <c r="X45" i="1"/>
  <c r="E45" i="1"/>
  <c r="L44" i="1"/>
  <c r="R43" i="1"/>
  <c r="X42" i="1"/>
  <c r="E42" i="1"/>
  <c r="L41" i="1"/>
  <c r="R40" i="1"/>
  <c r="X34" i="1"/>
  <c r="E34" i="1"/>
  <c r="L24" i="1"/>
  <c r="R14" i="1"/>
  <c r="AB8" i="1"/>
  <c r="AB11" i="1"/>
  <c r="AB14" i="1"/>
  <c r="AB17" i="1"/>
  <c r="AB20" i="1"/>
  <c r="AB23" i="1"/>
  <c r="AB26" i="1"/>
  <c r="AB29" i="1"/>
  <c r="AB32" i="1"/>
  <c r="AB35" i="1"/>
  <c r="AB38" i="1"/>
  <c r="AB41" i="1"/>
  <c r="AB44" i="1"/>
  <c r="AB47" i="1"/>
  <c r="AB50" i="1"/>
  <c r="Q49" i="1"/>
  <c r="W48" i="1"/>
  <c r="D48" i="1"/>
  <c r="K47" i="1"/>
  <c r="Q46" i="1"/>
  <c r="W45" i="1"/>
  <c r="D45" i="1"/>
  <c r="K44" i="1"/>
  <c r="Q43" i="1"/>
  <c r="W42" i="1"/>
  <c r="D42" i="1"/>
  <c r="K41" i="1"/>
  <c r="Q40" i="1"/>
  <c r="W34" i="1"/>
  <c r="D34" i="1"/>
  <c r="K24" i="1"/>
  <c r="Q14" i="1"/>
  <c r="AC8" i="1"/>
  <c r="AC11" i="1"/>
  <c r="AC14" i="1"/>
  <c r="AC17" i="1"/>
  <c r="AC20" i="1"/>
  <c r="AC23" i="1"/>
  <c r="AC26" i="1"/>
  <c r="AC29" i="1"/>
  <c r="AC32" i="1"/>
  <c r="AC35" i="1"/>
  <c r="AC38" i="1"/>
  <c r="AC41" i="1"/>
  <c r="AC44" i="1"/>
  <c r="AC47" i="1"/>
  <c r="AC50" i="1"/>
  <c r="P49" i="1"/>
  <c r="V48" i="1"/>
  <c r="C48" i="1"/>
  <c r="J47" i="1"/>
  <c r="P46" i="1"/>
  <c r="V45" i="1"/>
  <c r="C45" i="1"/>
  <c r="J44" i="1"/>
  <c r="P43" i="1"/>
  <c r="V42" i="1"/>
  <c r="C42" i="1"/>
  <c r="J41" i="1"/>
  <c r="P40" i="1"/>
  <c r="V34" i="1"/>
  <c r="C34" i="1"/>
  <c r="J24" i="1"/>
  <c r="P14" i="1"/>
  <c r="AA12" i="1"/>
  <c r="AA15" i="1"/>
  <c r="AA21" i="1"/>
  <c r="AA27" i="1"/>
  <c r="AA33" i="1"/>
  <c r="AA39" i="1"/>
  <c r="AA45" i="1"/>
  <c r="AD6" i="1"/>
  <c r="R48" i="1"/>
  <c r="L46" i="1"/>
  <c r="X44" i="1"/>
  <c r="L43" i="1"/>
  <c r="X41" i="1"/>
  <c r="E41" i="1"/>
  <c r="X24" i="1"/>
  <c r="L14" i="1"/>
  <c r="AD8" i="1"/>
  <c r="AD11" i="1"/>
  <c r="AD14" i="1"/>
  <c r="AD17" i="1"/>
  <c r="AD20" i="1"/>
  <c r="AD23" i="1"/>
  <c r="AD26" i="1"/>
  <c r="AD29" i="1"/>
  <c r="AD32" i="1"/>
  <c r="AD35" i="1"/>
  <c r="AD38" i="1"/>
  <c r="AD41" i="1"/>
  <c r="AD44" i="1"/>
  <c r="AD47" i="1"/>
  <c r="AD50" i="1"/>
  <c r="O49" i="1"/>
  <c r="U48" i="1"/>
  <c r="B48" i="1"/>
  <c r="I47" i="1"/>
  <c r="O46" i="1"/>
  <c r="U45" i="1"/>
  <c r="B45" i="1"/>
  <c r="I44" i="1"/>
  <c r="O43" i="1"/>
  <c r="U42" i="1"/>
  <c r="B42" i="1"/>
  <c r="I41" i="1"/>
  <c r="O40" i="1"/>
  <c r="U34" i="1"/>
  <c r="B34" i="1"/>
  <c r="I24" i="1"/>
  <c r="O14" i="1"/>
  <c r="AA9" i="1"/>
  <c r="AA18" i="1"/>
  <c r="AA24" i="1"/>
  <c r="AA30" i="1"/>
  <c r="AA36" i="1"/>
  <c r="AA42" i="1"/>
  <c r="AA48" i="1"/>
  <c r="L49" i="1"/>
  <c r="X47" i="1"/>
  <c r="E47" i="1"/>
  <c r="R45" i="1"/>
  <c r="E44" i="1"/>
  <c r="R42" i="1"/>
  <c r="L40" i="1"/>
  <c r="R34" i="1"/>
  <c r="E24" i="1"/>
  <c r="AB9" i="1"/>
  <c r="AB12" i="1"/>
  <c r="AB15" i="1"/>
  <c r="AB18" i="1"/>
  <c r="AB21" i="1"/>
  <c r="AB24" i="1"/>
  <c r="AB27" i="1"/>
  <c r="AB30" i="1"/>
  <c r="AB33" i="1"/>
  <c r="AB36" i="1"/>
  <c r="AB39" i="1"/>
  <c r="AB42" i="1"/>
  <c r="AB45" i="1"/>
  <c r="AB48" i="1"/>
  <c r="AC6" i="1"/>
  <c r="K49" i="1"/>
  <c r="Q48" i="1"/>
  <c r="W47" i="1"/>
  <c r="D47" i="1"/>
  <c r="K46" i="1"/>
  <c r="Q45" i="1"/>
  <c r="W44" i="1"/>
  <c r="D44" i="1"/>
  <c r="K43" i="1"/>
  <c r="Q42" i="1"/>
  <c r="W41" i="1"/>
  <c r="D41" i="1"/>
  <c r="K40" i="1"/>
  <c r="Q34" i="1"/>
  <c r="W24" i="1"/>
  <c r="D24" i="1"/>
  <c r="K14" i="1"/>
  <c r="AC9" i="1"/>
  <c r="AC12" i="1"/>
  <c r="AC15" i="1"/>
  <c r="AC18" i="1"/>
  <c r="AC21" i="1"/>
  <c r="AC24" i="1"/>
  <c r="AC27" i="1"/>
  <c r="AC30" i="1"/>
  <c r="AC33" i="1"/>
  <c r="AC36" i="1"/>
  <c r="AC39" i="1"/>
  <c r="AC42" i="1"/>
  <c r="AC45" i="1"/>
  <c r="AC48" i="1"/>
  <c r="AB6" i="1"/>
  <c r="J49" i="1"/>
  <c r="P48" i="1"/>
  <c r="V47" i="1"/>
  <c r="C47" i="1"/>
  <c r="J46" i="1"/>
  <c r="P45" i="1"/>
  <c r="V44" i="1"/>
  <c r="C44" i="1"/>
  <c r="J43" i="1"/>
  <c r="P42" i="1"/>
  <c r="V41" i="1"/>
  <c r="C41" i="1"/>
  <c r="J40" i="1"/>
  <c r="P34" i="1"/>
  <c r="V24" i="1"/>
  <c r="C24" i="1"/>
  <c r="J14" i="1"/>
  <c r="AB16" i="1"/>
  <c r="AB43" i="1"/>
  <c r="W49" i="1"/>
  <c r="Q47" i="1"/>
  <c r="K45" i="1"/>
  <c r="D43" i="1"/>
  <c r="D40" i="1"/>
  <c r="W14" i="1"/>
  <c r="AD9" i="1"/>
  <c r="AD12" i="1"/>
  <c r="AD15" i="1"/>
  <c r="AD18" i="1"/>
  <c r="AD21" i="1"/>
  <c r="AD24" i="1"/>
  <c r="AD27" i="1"/>
  <c r="AD30" i="1"/>
  <c r="AD33" i="1"/>
  <c r="AD36" i="1"/>
  <c r="AD39" i="1"/>
  <c r="AD42" i="1"/>
  <c r="AD45" i="1"/>
  <c r="AD48" i="1"/>
  <c r="AA6" i="1"/>
  <c r="I49" i="1"/>
  <c r="O48" i="1"/>
  <c r="U47" i="1"/>
  <c r="B47" i="1"/>
  <c r="I46" i="1"/>
  <c r="O45" i="1"/>
  <c r="U44" i="1"/>
  <c r="B44" i="1"/>
  <c r="I43" i="1"/>
  <c r="O42" i="1"/>
  <c r="U41" i="1"/>
  <c r="B41" i="1"/>
  <c r="I40" i="1"/>
  <c r="O34" i="1"/>
  <c r="U24" i="1"/>
  <c r="B24" i="1"/>
  <c r="I14" i="1"/>
  <c r="AB7" i="1"/>
  <c r="AB13" i="1"/>
  <c r="AB19" i="1"/>
  <c r="AB22" i="1"/>
  <c r="AB28" i="1"/>
  <c r="AB34" i="1"/>
  <c r="AB40" i="1"/>
  <c r="AB49" i="1"/>
  <c r="K48" i="1"/>
  <c r="D46" i="1"/>
  <c r="W43" i="1"/>
  <c r="Q41" i="1"/>
  <c r="K34" i="1"/>
  <c r="D14" i="1"/>
  <c r="E50" i="1"/>
  <c r="E23" i="1"/>
  <c r="E32" i="1"/>
  <c r="I35" i="1"/>
  <c r="X9" i="1"/>
  <c r="R29" i="1"/>
  <c r="R17" i="1"/>
  <c r="K31" i="1"/>
  <c r="W20" i="1"/>
  <c r="C13" i="1"/>
  <c r="V50" i="1"/>
  <c r="E29" i="1"/>
  <c r="E11" i="1"/>
  <c r="L29" i="1"/>
  <c r="L20" i="1"/>
  <c r="X39" i="1"/>
  <c r="U30" i="1"/>
  <c r="U18" i="1"/>
  <c r="O50" i="1"/>
  <c r="O38" i="1"/>
  <c r="O26" i="1"/>
  <c r="B38" i="1"/>
  <c r="B29" i="1"/>
  <c r="B20" i="1"/>
  <c r="B11" i="1"/>
  <c r="I38" i="1"/>
  <c r="I29" i="1"/>
  <c r="I20" i="1"/>
  <c r="I11" i="1"/>
  <c r="U39" i="1"/>
  <c r="W29" i="1"/>
  <c r="W17" i="1"/>
  <c r="Q37" i="1"/>
  <c r="Q25" i="1"/>
  <c r="Q13" i="1"/>
  <c r="U6" i="1"/>
  <c r="B23" i="1"/>
  <c r="D13" i="1"/>
  <c r="W50" i="1"/>
  <c r="J22" i="1"/>
  <c r="E20" i="1"/>
  <c r="L38" i="1"/>
  <c r="L11" i="1"/>
  <c r="D37" i="1"/>
  <c r="D28" i="1"/>
  <c r="D19" i="1"/>
  <c r="D10" i="1"/>
  <c r="K37" i="1"/>
  <c r="K28" i="1"/>
  <c r="K19" i="1"/>
  <c r="K10" i="1"/>
  <c r="W38" i="1"/>
  <c r="X27" i="1"/>
  <c r="X15" i="1"/>
  <c r="R35" i="1"/>
  <c r="R23" i="1"/>
  <c r="R11" i="1"/>
  <c r="I50" i="1"/>
  <c r="O29" i="1"/>
  <c r="D31" i="1"/>
  <c r="K22" i="1"/>
  <c r="Q28" i="1"/>
  <c r="C10" i="1"/>
  <c r="J19" i="1"/>
  <c r="V38" i="1"/>
  <c r="U27" i="1"/>
  <c r="U15" i="1"/>
  <c r="O35" i="1"/>
  <c r="O23" i="1"/>
  <c r="O11" i="1"/>
  <c r="L50" i="1"/>
  <c r="I23" i="1"/>
  <c r="U9" i="1"/>
  <c r="D22" i="1"/>
  <c r="X18" i="1"/>
  <c r="R26" i="1"/>
  <c r="C37" i="1"/>
  <c r="E35" i="1"/>
  <c r="E26" i="1"/>
  <c r="E17" i="1"/>
  <c r="E8" i="1"/>
  <c r="L35" i="1"/>
  <c r="L26" i="1"/>
  <c r="L17" i="1"/>
  <c r="L8" i="1"/>
  <c r="X36" i="1"/>
  <c r="W26" i="1"/>
  <c r="Q22" i="1"/>
  <c r="Q10" i="1"/>
  <c r="L32" i="1"/>
  <c r="X33" i="1"/>
  <c r="U33" i="1"/>
  <c r="K13" i="1"/>
  <c r="W8" i="1"/>
  <c r="Q16" i="1"/>
  <c r="C31" i="1"/>
  <c r="J13" i="1"/>
  <c r="J10" i="1"/>
  <c r="Q8" i="1"/>
  <c r="Q11" i="1"/>
  <c r="Q17" i="1"/>
  <c r="Q20" i="1"/>
  <c r="Q23" i="1"/>
  <c r="Q26" i="1"/>
  <c r="Q29" i="1"/>
  <c r="Q32" i="1"/>
  <c r="Q35" i="1"/>
  <c r="Q38" i="1"/>
  <c r="Q50" i="1"/>
  <c r="W9" i="1"/>
  <c r="W12" i="1"/>
  <c r="W15" i="1"/>
  <c r="W18" i="1"/>
  <c r="W21" i="1"/>
  <c r="W27" i="1"/>
  <c r="W30" i="1"/>
  <c r="W33" i="1"/>
  <c r="W36" i="1"/>
  <c r="W39" i="1"/>
  <c r="V6" i="1"/>
  <c r="K8" i="1"/>
  <c r="K11" i="1"/>
  <c r="K17" i="1"/>
  <c r="K20" i="1"/>
  <c r="K23" i="1"/>
  <c r="K26" i="1"/>
  <c r="K29" i="1"/>
  <c r="K32" i="1"/>
  <c r="K35" i="1"/>
  <c r="K38" i="1"/>
  <c r="K50" i="1"/>
  <c r="D8" i="1"/>
  <c r="D11" i="1"/>
  <c r="D17" i="1"/>
  <c r="D20" i="1"/>
  <c r="D23" i="1"/>
  <c r="D26" i="1"/>
  <c r="D29" i="1"/>
  <c r="D32" i="1"/>
  <c r="D35" i="1"/>
  <c r="D38" i="1"/>
  <c r="D50" i="1"/>
  <c r="O9" i="1"/>
  <c r="O12" i="1"/>
  <c r="O15" i="1"/>
  <c r="O18" i="1"/>
  <c r="O21" i="1"/>
  <c r="O27" i="1"/>
  <c r="O30" i="1"/>
  <c r="O33" i="1"/>
  <c r="O36" i="1"/>
  <c r="O39" i="1"/>
  <c r="U7" i="1"/>
  <c r="U10" i="1"/>
  <c r="U13" i="1"/>
  <c r="U16" i="1"/>
  <c r="U19" i="1"/>
  <c r="U22" i="1"/>
  <c r="U25" i="1"/>
  <c r="U28" i="1"/>
  <c r="U31" i="1"/>
  <c r="U37" i="1"/>
  <c r="R6" i="1"/>
  <c r="I9" i="1"/>
  <c r="I12" i="1"/>
  <c r="I15" i="1"/>
  <c r="I18" i="1"/>
  <c r="I21" i="1"/>
  <c r="I27" i="1"/>
  <c r="I30" i="1"/>
  <c r="I33" i="1"/>
  <c r="I36" i="1"/>
  <c r="I39" i="1"/>
  <c r="L6" i="1"/>
  <c r="B9" i="1"/>
  <c r="B12" i="1"/>
  <c r="B15" i="1"/>
  <c r="B18" i="1"/>
  <c r="B21" i="1"/>
  <c r="B27" i="1"/>
  <c r="B30" i="1"/>
  <c r="B33" i="1"/>
  <c r="B36" i="1"/>
  <c r="B39" i="1"/>
  <c r="E6" i="1"/>
  <c r="P13" i="1"/>
  <c r="P22" i="1"/>
  <c r="P28" i="1"/>
  <c r="P37" i="1"/>
  <c r="V23" i="1"/>
  <c r="V32" i="1"/>
  <c r="P9" i="1"/>
  <c r="P12" i="1"/>
  <c r="P15" i="1"/>
  <c r="P18" i="1"/>
  <c r="P21" i="1"/>
  <c r="P27" i="1"/>
  <c r="P30" i="1"/>
  <c r="P33" i="1"/>
  <c r="P36" i="1"/>
  <c r="P39" i="1"/>
  <c r="V7" i="1"/>
  <c r="V10" i="1"/>
  <c r="V13" i="1"/>
  <c r="V16" i="1"/>
  <c r="V19" i="1"/>
  <c r="V22" i="1"/>
  <c r="V25" i="1"/>
  <c r="V28" i="1"/>
  <c r="V31" i="1"/>
  <c r="V37" i="1"/>
  <c r="Q6" i="1"/>
  <c r="J9" i="1"/>
  <c r="J12" i="1"/>
  <c r="J15" i="1"/>
  <c r="J18" i="1"/>
  <c r="J21" i="1"/>
  <c r="J27" i="1"/>
  <c r="J30" i="1"/>
  <c r="J33" i="1"/>
  <c r="J36" i="1"/>
  <c r="J39" i="1"/>
  <c r="K6" i="1"/>
  <c r="C9" i="1"/>
  <c r="C12" i="1"/>
  <c r="C15" i="1"/>
  <c r="C18" i="1"/>
  <c r="C21" i="1"/>
  <c r="C27" i="1"/>
  <c r="C30" i="1"/>
  <c r="C33" i="1"/>
  <c r="C36" i="1"/>
  <c r="C39" i="1"/>
  <c r="D6" i="1"/>
  <c r="Q9" i="1"/>
  <c r="Q12" i="1"/>
  <c r="Q15" i="1"/>
  <c r="Q18" i="1"/>
  <c r="Q21" i="1"/>
  <c r="Q27" i="1"/>
  <c r="Q30" i="1"/>
  <c r="Q33" i="1"/>
  <c r="Q36" i="1"/>
  <c r="Q39" i="1"/>
  <c r="W7" i="1"/>
  <c r="W10" i="1"/>
  <c r="W13" i="1"/>
  <c r="W16" i="1"/>
  <c r="W19" i="1"/>
  <c r="W22" i="1"/>
  <c r="W25" i="1"/>
  <c r="W28" i="1"/>
  <c r="W31" i="1"/>
  <c r="W37" i="1"/>
  <c r="P6" i="1"/>
  <c r="K9" i="1"/>
  <c r="K12" i="1"/>
  <c r="K15" i="1"/>
  <c r="K18" i="1"/>
  <c r="K21" i="1"/>
  <c r="K27" i="1"/>
  <c r="K30" i="1"/>
  <c r="K33" i="1"/>
  <c r="K36" i="1"/>
  <c r="K39" i="1"/>
  <c r="J6" i="1"/>
  <c r="D9" i="1"/>
  <c r="D12" i="1"/>
  <c r="D15" i="1"/>
  <c r="D18" i="1"/>
  <c r="D21" i="1"/>
  <c r="D27" i="1"/>
  <c r="D30" i="1"/>
  <c r="D33" i="1"/>
  <c r="D36" i="1"/>
  <c r="D39" i="1"/>
  <c r="C6" i="1"/>
  <c r="B6" i="1"/>
  <c r="B13" i="1"/>
  <c r="B22" i="1"/>
  <c r="B31" i="1"/>
  <c r="B37" i="1"/>
  <c r="R9" i="1"/>
  <c r="R12" i="1"/>
  <c r="R15" i="1"/>
  <c r="R18" i="1"/>
  <c r="R21" i="1"/>
  <c r="R27" i="1"/>
  <c r="R30" i="1"/>
  <c r="R33" i="1"/>
  <c r="R36" i="1"/>
  <c r="R39" i="1"/>
  <c r="X7" i="1"/>
  <c r="X10" i="1"/>
  <c r="X13" i="1"/>
  <c r="X16" i="1"/>
  <c r="X19" i="1"/>
  <c r="X22" i="1"/>
  <c r="X25" i="1"/>
  <c r="X28" i="1"/>
  <c r="X31" i="1"/>
  <c r="X37" i="1"/>
  <c r="O6" i="1"/>
  <c r="L9" i="1"/>
  <c r="L12" i="1"/>
  <c r="L15" i="1"/>
  <c r="L18" i="1"/>
  <c r="L21" i="1"/>
  <c r="L27" i="1"/>
  <c r="L30" i="1"/>
  <c r="L33" i="1"/>
  <c r="L36" i="1"/>
  <c r="L39" i="1"/>
  <c r="I6" i="1"/>
  <c r="E9" i="1"/>
  <c r="E12" i="1"/>
  <c r="E15" i="1"/>
  <c r="E18" i="1"/>
  <c r="E21" i="1"/>
  <c r="E27" i="1"/>
  <c r="E30" i="1"/>
  <c r="E33" i="1"/>
  <c r="E36" i="1"/>
  <c r="E39" i="1"/>
  <c r="B10" i="1"/>
  <c r="B19" i="1"/>
  <c r="B28" i="1"/>
  <c r="P7" i="1"/>
  <c r="P10" i="1"/>
  <c r="P16" i="1"/>
  <c r="P19" i="1"/>
  <c r="P25" i="1"/>
  <c r="V11" i="1"/>
  <c r="V17" i="1"/>
  <c r="V26" i="1"/>
  <c r="O7" i="1"/>
  <c r="O10" i="1"/>
  <c r="O13" i="1"/>
  <c r="O16" i="1"/>
  <c r="O19" i="1"/>
  <c r="O22" i="1"/>
  <c r="O25" i="1"/>
  <c r="O28" i="1"/>
  <c r="O31" i="1"/>
  <c r="O37" i="1"/>
  <c r="U8" i="1"/>
  <c r="U11" i="1"/>
  <c r="U17" i="1"/>
  <c r="U20" i="1"/>
  <c r="U23" i="1"/>
  <c r="U26" i="1"/>
  <c r="U29" i="1"/>
  <c r="U32" i="1"/>
  <c r="U35" i="1"/>
  <c r="U38" i="1"/>
  <c r="U50" i="1"/>
  <c r="I7" i="1"/>
  <c r="I10" i="1"/>
  <c r="I13" i="1"/>
  <c r="I16" i="1"/>
  <c r="I19" i="1"/>
  <c r="I22" i="1"/>
  <c r="I25" i="1"/>
  <c r="I28" i="1"/>
  <c r="I31" i="1"/>
  <c r="I37" i="1"/>
  <c r="B7" i="1"/>
  <c r="B16" i="1"/>
  <c r="B25" i="1"/>
  <c r="P31" i="1"/>
  <c r="V8" i="1"/>
  <c r="V20" i="1"/>
  <c r="V29" i="1"/>
  <c r="R7" i="1"/>
  <c r="R10" i="1"/>
  <c r="R13" i="1"/>
  <c r="R16" i="1"/>
  <c r="R19" i="1"/>
  <c r="R22" i="1"/>
  <c r="R25" i="1"/>
  <c r="R28" i="1"/>
  <c r="R31" i="1"/>
  <c r="R37" i="1"/>
  <c r="X8" i="1"/>
  <c r="X11" i="1"/>
  <c r="X17" i="1"/>
  <c r="X20" i="1"/>
  <c r="X23" i="1"/>
  <c r="X26" i="1"/>
  <c r="X29" i="1"/>
  <c r="X32" i="1"/>
  <c r="X35" i="1"/>
  <c r="X38" i="1"/>
  <c r="X50" i="1"/>
  <c r="L7" i="1"/>
  <c r="L10" i="1"/>
  <c r="L13" i="1"/>
  <c r="L16" i="1"/>
  <c r="L19" i="1"/>
  <c r="L22" i="1"/>
  <c r="L25" i="1"/>
  <c r="L28" i="1"/>
  <c r="L31" i="1"/>
  <c r="L37" i="1"/>
  <c r="E7" i="1"/>
  <c r="E10" i="1"/>
  <c r="E13" i="1"/>
  <c r="E16" i="1"/>
  <c r="E19" i="1"/>
  <c r="E22" i="1"/>
  <c r="E25" i="1"/>
  <c r="E28" i="1"/>
  <c r="E31" i="1"/>
  <c r="E37" i="1"/>
  <c r="P8" i="1"/>
  <c r="P11" i="1"/>
  <c r="P17" i="1"/>
  <c r="P20" i="1"/>
  <c r="P23" i="1"/>
  <c r="P26" i="1"/>
  <c r="P29" i="1"/>
  <c r="P32" i="1"/>
  <c r="P35" i="1"/>
  <c r="P38" i="1"/>
  <c r="P50" i="1"/>
  <c r="V9" i="1"/>
  <c r="V12" i="1"/>
  <c r="V15" i="1"/>
  <c r="V18" i="1"/>
  <c r="V21" i="1"/>
  <c r="V27" i="1"/>
  <c r="V30" i="1"/>
  <c r="V33" i="1"/>
  <c r="V36" i="1"/>
  <c r="V39" i="1"/>
  <c r="W6" i="1"/>
  <c r="J8" i="1"/>
  <c r="J11" i="1"/>
  <c r="J17" i="1"/>
  <c r="J20" i="1"/>
  <c r="J23" i="1"/>
  <c r="J26" i="1"/>
  <c r="J29" i="1"/>
  <c r="J32" i="1"/>
  <c r="J35" i="1"/>
  <c r="J38" i="1"/>
  <c r="J50" i="1"/>
  <c r="C8" i="1"/>
  <c r="C11" i="1"/>
  <c r="C17" i="1"/>
  <c r="C20" i="1"/>
  <c r="C23" i="1"/>
  <c r="C26" i="1"/>
  <c r="C29" i="1"/>
  <c r="C32" i="1"/>
  <c r="C35" i="1"/>
  <c r="C38" i="1"/>
  <c r="C50" i="1"/>
  <c r="B50" i="1"/>
  <c r="I32" i="1"/>
  <c r="U21" i="1"/>
  <c r="W32" i="1"/>
  <c r="C28" i="1"/>
  <c r="J37" i="1"/>
  <c r="D16" i="1"/>
  <c r="K25" i="1"/>
  <c r="K7" i="1"/>
  <c r="W35" i="1"/>
  <c r="U12" i="1"/>
  <c r="O32" i="1"/>
  <c r="O20" i="1"/>
  <c r="O8" i="1"/>
  <c r="L23" i="1"/>
  <c r="X21" i="1"/>
  <c r="B32" i="1"/>
  <c r="X6" i="1"/>
  <c r="O17" i="1"/>
  <c r="C22" i="1"/>
  <c r="J31" i="1"/>
  <c r="X30" i="1"/>
  <c r="R50" i="1"/>
  <c r="R38" i="1"/>
  <c r="E38" i="1"/>
  <c r="C19" i="1"/>
  <c r="J28" i="1"/>
  <c r="B35" i="1"/>
  <c r="B26" i="1"/>
  <c r="B17" i="1"/>
  <c r="B8" i="1"/>
  <c r="I26" i="1"/>
  <c r="I17" i="1"/>
  <c r="I8" i="1"/>
  <c r="U36" i="1"/>
  <c r="X12" i="1"/>
  <c r="R32" i="1"/>
  <c r="R20" i="1"/>
  <c r="R8" i="1"/>
  <c r="D25" i="1"/>
  <c r="D7" i="1"/>
  <c r="K16" i="1"/>
  <c r="C25" i="1"/>
  <c r="C16" i="1"/>
  <c r="C7" i="1"/>
  <c r="J25" i="1"/>
  <c r="J16" i="1"/>
  <c r="J7" i="1"/>
  <c r="V35" i="1"/>
  <c r="W23" i="1"/>
  <c r="W11" i="1"/>
  <c r="Q31" i="1"/>
  <c r="Q19" i="1"/>
  <c r="Q7" i="1"/>
  <c r="AT2" i="1" l="1"/>
  <c r="AT3" i="1"/>
  <c r="AN3" i="1"/>
  <c r="AN2" i="1"/>
  <c r="AH2" i="1"/>
  <c r="AH3" i="1"/>
  <c r="C5" i="4"/>
  <c r="C7" i="4" s="1"/>
  <c r="AB3" i="1"/>
  <c r="AB2" i="1"/>
  <c r="V2" i="1"/>
  <c r="P3" i="1"/>
  <c r="J2" i="1"/>
  <c r="P2" i="1"/>
  <c r="C3" i="1"/>
  <c r="C2" i="1"/>
  <c r="V3" i="1"/>
  <c r="J3" i="1"/>
</calcChain>
</file>

<file path=xl/sharedStrings.xml><?xml version="1.0" encoding="utf-8"?>
<sst xmlns="http://schemas.openxmlformats.org/spreadsheetml/2006/main" count="207" uniqueCount="124">
  <si>
    <t>СПБ3</t>
  </si>
  <si>
    <t>СПБ2</t>
  </si>
  <si>
    <t>СПБ4</t>
  </si>
  <si>
    <t>Склад</t>
  </si>
  <si>
    <t>Строк</t>
  </si>
  <si>
    <t>Объем</t>
  </si>
  <si>
    <t>Номер заказа</t>
  </si>
  <si>
    <t>Б1</t>
  </si>
  <si>
    <t>Б2</t>
  </si>
  <si>
    <t>Б3</t>
  </si>
  <si>
    <t>Б4</t>
  </si>
  <si>
    <t>Б5</t>
  </si>
  <si>
    <t>Б6</t>
  </si>
  <si>
    <t>Б7</t>
  </si>
  <si>
    <t>Б8</t>
  </si>
  <si>
    <t>Б9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</si>
  <si>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</si>
  <si>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</si>
  <si>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</si>
  <si>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</si>
  <si>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</si>
  <si>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</si>
  <si>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</si>
  <si>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</si>
  <si>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</si>
  <si>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</si>
  <si>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</si>
  <si>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</si>
  <si>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</si>
  <si>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</si>
  <si>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</si>
  <si>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</si>
  <si>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</si>
  <si>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</si>
  <si>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</si>
  <si>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</si>
  <si>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</si>
  <si>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</si>
  <si>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</si>
  <si>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</si>
  <si>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</si>
  <si>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</si>
  <si>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</si>
  <si>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</si>
  <si>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</si>
  <si>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</si>
  <si>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</si>
  <si>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Б41</t>
  </si>
  <si>
    <t>Б42</t>
  </si>
  <si>
    <t>Б43</t>
  </si>
  <si>
    <t>Б44</t>
  </si>
  <si>
    <t>Б45</t>
  </si>
  <si>
    <t>Клиент</t>
  </si>
  <si>
    <t>СПБ1</t>
  </si>
  <si>
    <t>СПБ5</t>
  </si>
  <si>
    <t>Дата отгрузки</t>
  </si>
  <si>
    <t>Объем кузова</t>
  </si>
  <si>
    <t>Объем пополнение, м3</t>
  </si>
  <si>
    <t>Объем подзаказа, м3</t>
  </si>
  <si>
    <t>Квота, строк</t>
  </si>
  <si>
    <t>Подзаказ, строк</t>
  </si>
  <si>
    <t>Пополнение, строк</t>
  </si>
  <si>
    <t>Итого объем, м3</t>
  </si>
  <si>
    <t>Итого, строк</t>
  </si>
  <si>
    <t>Заполнение ТС, %</t>
  </si>
  <si>
    <t>Использование строк, %</t>
  </si>
  <si>
    <t>Остаток, м3</t>
  </si>
  <si>
    <t>Остаток, строк</t>
  </si>
  <si>
    <t>Менеджер</t>
  </si>
  <si>
    <t>СПБ</t>
  </si>
  <si>
    <t>АМАНОВ</t>
  </si>
  <si>
    <t>   Дата отгрузки:</t>
  </si>
  <si>
    <t xml:space="preserve">  Фактический объем: </t>
  </si>
  <si>
    <t>86 м3</t>
  </si>
  <si>
    <t>Объем пополнения,м3</t>
  </si>
  <si>
    <t>Объем клиентских заказов, м3</t>
  </si>
  <si>
    <t>ИТОГО объем:</t>
  </si>
  <si>
    <t>Квоты (полезный объем ТС):</t>
  </si>
  <si>
    <t>Наполнение ТС от полезного объема,%</t>
  </si>
  <si>
    <t>ИТОГО строк:</t>
  </si>
  <si>
    <t>Квоты строк:</t>
  </si>
  <si>
    <t>Использование квоты по строкам:</t>
  </si>
  <si>
    <t>Объем не вывезенных заказов, м3</t>
  </si>
  <si>
    <t>Кол-во строк не вывезенных заказов</t>
  </si>
  <si>
    <t>Сумма не вывезенных заказов</t>
  </si>
  <si>
    <t>Сумма вывезенных заказов</t>
  </si>
  <si>
    <t>Средняя стоимость</t>
  </si>
  <si>
    <t>Вывезенное пополнение, строка</t>
  </si>
  <si>
    <t>Вывезенное пополнение, куб</t>
  </si>
  <si>
    <t>Невывезенное пополнение, строка</t>
  </si>
  <si>
    <t>Невывезенное пополнение, куб</t>
  </si>
  <si>
    <t>СЕГОДНЯ</t>
  </si>
  <si>
    <t>СИТИ_СПБ1</t>
  </si>
  <si>
    <t>СИТИ_СПБ2</t>
  </si>
  <si>
    <t>СИТИ_СПБ3</t>
  </si>
  <si>
    <t>СИТИ_СПБ4</t>
  </si>
  <si>
    <t>СИТИ_СПБ5</t>
  </si>
  <si>
    <t>СИТИ_СПБ</t>
  </si>
  <si>
    <t>Объем в день</t>
  </si>
  <si>
    <t>Строки в день</t>
  </si>
  <si>
    <t>Письмо складам</t>
  </si>
  <si>
    <t>Chernin.V@citilink.ru</t>
  </si>
  <si>
    <t xml:space="preserve">Здравствуйте
Заказы СПб1/СПБ2/СПБ3/СПБ4/СПБ5 в одной машине!!!
С Уважением, 
Аманов Руслан
Product Line Manager
СИТИЛИНК
Санкт-Петербург, Оптиков 4
Тел.:+7 (812) 332-84-84, доб. 3520
тел.моб.: +7 (911) 098-73-80
e-mail: amanov.r@citilink.ru
ICQ: 418920135
www.citilink.ru
</t>
  </si>
  <si>
    <t>Рубашкину</t>
  </si>
  <si>
    <t>Отдел пополнения</t>
  </si>
  <si>
    <t xml:space="preserve">Здравствуйте
Файл во вложении
С Уважением, 
Аманов Руслан
Product Line Manager
СИТИЛИНК
Санкт-Петербург, Оптиков 4
Тел.:+7 (812) 332-84-84, доб. 3520
тел.моб.: +7 (911) 098-73-80
e-mail: amanov.r@citilink.ru
ICQ: 418920135
www.citilink.ru
</t>
  </si>
  <si>
    <t>_Почта_Ситилинк_Питер_Склад &lt;citilink_piter_sklad@merlion.ru&gt;; _Почта_Ситилинк_Питер_Склад_2 &lt;cl_spb2_sklad@citilink.ru&gt;; _Почта_Ситилинк_Питер_Склад_3 &lt;cl_piter_sklad3@merlion.ru&gt;; _Почта_Ситилинк_Питер_Склад_4 &lt;cl_SPB_Sklad_4@citilink.ru&gt;; _Почта_Ситилинк_Питер_Отдел_Доставки_2 &lt;cl_piter_od_2@merlion.ru&gt;; _Почта_Ситилинк_Питер_Отдел_Доставки_1 &lt;cl_piter_od_1@merlion.ru&gt;; _Почта_Ситилинк_Питер_Склад_5 &lt;cl_SPB_Sklad_5@citilink.ru&gt;</t>
  </si>
  <si>
    <t>Rubashkin Mikhail &lt;Rubashkin.M@citilink.ru&gt;; Zanichev Denis &lt;dezan@citilink.ru&gt;; Khromushkin Sergey &lt;Khromushkin.S@citilink.ru&gt;; Bolottseva Yuliya &lt;bolottseva.y@citilink.ru&gt;; Vishnevskiy Sergey &lt;vishnevskiy.s@citilink.ru&gt;; Kulpin Maksim &lt;kulpin.m@citilink.ru&gt;</t>
  </si>
  <si>
    <t>_Почта_Ситилинк_УК_Пополнение &lt;citilink_uk_popolnenie@citilink.ru&gt;</t>
  </si>
  <si>
    <t>Emelyanov Pavel &lt;Emelyanov.P@citilink.ru&gt;; Chernin.V@citilink.ru</t>
  </si>
  <si>
    <t xml:space="preserve">Здравствуйте
Не весь товар поместился в машину. Файл во вложении.
С Уважением, 
Аманов Руслан
Product Line Manager
СИТИЛИНК
Санкт-Петербург, Оптиков 4
Тел.:+7 (812) 332-84-84, доб. 3520
тел.моб.: +7 (911) 098-73-80
e-mail: amanov.r@citilink.ru
ICQ: 418920135
www.citilink.ru
</t>
  </si>
  <si>
    <t xml:space="preserve">
Здравствуйте
Заказы СПб1/СПБ4 в одной машине!!!
Заказы  СПб2/СПб3/СПБ5 в одной машине!!!
Порядок загрузки: в голову СПб4, в хвост СПб1
Порядок выгрузки: ВЫГРУЗКА ЗАКАЗОВ СПб1 и СПб4 НА СКЛАДЕ СПБ1.
Порядок загрузки: в голову СПБ5, затем, СПб3, в хвост СПб2
Порядок выгрузки: ВЫГРУЗКА ЗАКАЗОВ СПб2, СПб3, СПБ5 НА СКЛАДЕ СПБ2.
С Уважением, 
Аманов Руслан
Product Line Manager
СИТИЛИНК
Санкт-Петербург, Оптиков 4
Тел.:+7 (812) 332-84-84, доб. 3520
тел.моб.: +7 (911) 098-73-80
e-mail: amanov.r@citilink.ru
ICQ: 418920135
www.citilink.ru
</t>
  </si>
  <si>
    <t>Amanov Ruslan &lt;amanov.r@citilink.ru&gt;</t>
  </si>
  <si>
    <t xml:space="preserve">
Здравствуйте
Заказы СПб1/СПБ4 в одной машине!!!
Заказы  СПб2/СПб3/СПБ5 в одной машине!!!
Порядок загрузки: в голову СПб4, в хвост СПб1
Порядок выгрузки: ВЫГРУЗКА ЗАКАЗОВ СПб1 и СПб4 НА СКЛАДЕ СПБ1.
Порядок загрузки: в голову СПБ5, затем, СПб3, в хвост СПб2
Порядок выгрузки: ВЫГРУЗКА ЗАКАЗОВ СПб2, СПб3, СПБ5 НА СКЛАДЕ СПБ2.
С Уважением, 
Чернин Владислав
рПЛМ
СИТИЛИНК
Санкт-Петербург, Оптиков 4
Тел.:+7 (812) 332-84-84, доб. 3541
тел.моб.: +7 (962) 691-32-50
e-mail: chernin.v@citilink.ru
www.citilink.ru
</t>
  </si>
  <si>
    <t xml:space="preserve">Здравствуйте
Заказы СПб1/СПБ2/СПБ3/СПБ4/СПБ5 в одной машине!!!
С Уважением, 
Чернин Владислав
рПЛМ
СИТИЛИНК
Санкт-Петербург, Оптиков 4
Тел.:+7 (812) 332-84-84, доб. 3541
тел.моб.: +7 (962) 691-32-50
e-mail: chernin.v@citilink.ru
www.citilink.ru
</t>
  </si>
  <si>
    <t xml:space="preserve">Здравствуйте
Файл во вложении
С Уважением, 
Чернин Владислав
рПЛМ
СИТИЛИНК
Санкт-Петербург, Оптиков 4
Тел.:+7 (812) 332-84-84, доб. 3541
тел.моб.: +7 (962) 691-32-50
e-mail: chernin.v@citilink.ru
www.citilink.ru
</t>
  </si>
  <si>
    <t xml:space="preserve">Здравствуйте
Не весь товар поместился в машину. Файл во вложении.
С Уважением, 
Чернин Владислав
рПЛМ
СИТИЛИНК
Санкт-Петербург, Оптиков 4
Тел.:+7 (812) 332-84-84, доб. 3541
тел.моб.: +7 (962) 691-32-50
e-mail: chernin.v@citilink.ru
www.citilink.ru
</t>
  </si>
  <si>
    <t>Emelyanov Pavel &lt;Emelyanov.P@citilink.ru&gt;; Amanov Ruslan &lt;amanov.r@citilink.ru&gt;</t>
  </si>
  <si>
    <t>СПБ6</t>
  </si>
  <si>
    <t>СПБ7</t>
  </si>
  <si>
    <t>СПБ8</t>
  </si>
  <si>
    <t>СИТИ_СПБ6</t>
  </si>
  <si>
    <t>СИТИ_СПБ7</t>
  </si>
  <si>
    <t>СИТИ_СПБ8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</si>
</sst>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#,##0.00_ ;\-#,##0.00\ 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i/>
      <sz val="11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i/>
      <sz val="11"/>
      <color rgb="FF9C0006"/>
      <name val="Calibri"/>
      <family val="2"/>
      <charset val="204"/>
      <scheme val="minor"/>
    </font>
    <font>
      <b/>
      <sz val="11"/>
      <color rgb="FF9C0006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1" xfId="0" applyBorder="1"/>
    <xf numFmtId="14" fontId="0" fillId="0" borderId="0" xfId="0" applyNumberFormat="1"/>
    <xf numFmtId="4" fontId="0" fillId="0" borderId="0" xfId="0" applyNumberFormat="1"/>
    <xf numFmtId="0" fontId="1" fillId="0" borderId="1" xfId="0" applyFont="1" applyBorder="1"/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horizontal="right"/>
    </xf>
    <xf numFmtId="1" fontId="0" fillId="0" borderId="0" xfId="0" applyNumberFormat="1"/>
    <xf numFmtId="0" fontId="2" fillId="0" borderId="0" xfId="0" applyFont="1" applyAlignment="1">
      <alignment vertical="center"/>
    </xf>
    <xf numFmtId="10" fontId="0" fillId="0" borderId="0" xfId="0" applyNumberFormat="1"/>
    <xf numFmtId="0" fontId="0" fillId="0" borderId="0" xfId="0" applyFont="1" applyAlignment="1">
      <alignment vertical="center"/>
    </xf>
    <xf numFmtId="0" fontId="3" fillId="0" borderId="0" xfId="0" applyFont="1"/>
    <xf numFmtId="0" fontId="3" fillId="2" borderId="1" xfId="0" applyFont="1" applyFill="1" applyBorder="1"/>
    <xf numFmtId="0" fontId="4" fillId="2" borderId="1" xfId="0" applyFont="1" applyFill="1" applyBorder="1"/>
    <xf numFmtId="0" fontId="3" fillId="3" borderId="1" xfId="0" applyFont="1" applyFill="1" applyBorder="1" applyAlignment="1">
      <alignment horizontal="right"/>
    </xf>
    <xf numFmtId="0" fontId="5" fillId="3" borderId="1" xfId="0" applyFont="1" applyFill="1" applyBorder="1" applyAlignment="1">
      <alignment horizontal="right"/>
    </xf>
    <xf numFmtId="0" fontId="3" fillId="4" borderId="1" xfId="0" applyFont="1" applyFill="1" applyBorder="1" applyAlignment="1">
      <alignment horizontal="right"/>
    </xf>
    <xf numFmtId="1" fontId="3" fillId="5" borderId="1" xfId="0" applyNumberFormat="1" applyFont="1" applyFill="1" applyBorder="1" applyAlignment="1">
      <alignment horizontal="right"/>
    </xf>
    <xf numFmtId="9" fontId="3" fillId="5" borderId="1" xfId="0" applyNumberFormat="1" applyFont="1" applyFill="1" applyBorder="1" applyAlignment="1">
      <alignment horizontal="right"/>
    </xf>
    <xf numFmtId="10" fontId="3" fillId="5" borderId="1" xfId="0" applyNumberFormat="1" applyFont="1" applyFill="1" applyBorder="1" applyAlignment="1">
      <alignment horizontal="right"/>
    </xf>
    <xf numFmtId="0" fontId="6" fillId="6" borderId="4" xfId="0" applyFont="1" applyFill="1" applyBorder="1"/>
    <xf numFmtId="0" fontId="6" fillId="6" borderId="5" xfId="0" applyFont="1" applyFill="1" applyBorder="1"/>
    <xf numFmtId="0" fontId="7" fillId="6" borderId="1" xfId="0" applyFont="1" applyFill="1" applyBorder="1" applyAlignment="1">
      <alignment horizontal="right"/>
    </xf>
    <xf numFmtId="0" fontId="6" fillId="6" borderId="6" xfId="0" applyFont="1" applyFill="1" applyBorder="1"/>
    <xf numFmtId="0" fontId="6" fillId="6" borderId="7" xfId="0" applyFont="1" applyFill="1" applyBorder="1"/>
    <xf numFmtId="165" fontId="7" fillId="6" borderId="1" xfId="1" applyNumberFormat="1" applyFont="1" applyFill="1" applyBorder="1" applyAlignment="1">
      <alignment horizontal="right"/>
    </xf>
    <xf numFmtId="0" fontId="8" fillId="7" borderId="6" xfId="0" applyFont="1" applyFill="1" applyBorder="1"/>
    <xf numFmtId="0" fontId="8" fillId="7" borderId="0" xfId="0" applyFont="1" applyFill="1" applyBorder="1"/>
    <xf numFmtId="165" fontId="9" fillId="7" borderId="1" xfId="1" applyNumberFormat="1" applyFont="1" applyFill="1" applyBorder="1" applyAlignment="1">
      <alignment horizontal="right"/>
    </xf>
    <xf numFmtId="165" fontId="9" fillId="0" borderId="10" xfId="1" applyNumberFormat="1" applyFont="1" applyFill="1" applyBorder="1" applyAlignment="1">
      <alignment horizontal="right"/>
    </xf>
    <xf numFmtId="165" fontId="9" fillId="0" borderId="11" xfId="1" applyNumberFormat="1" applyFont="1" applyFill="1" applyBorder="1" applyAlignment="1">
      <alignment horizontal="right"/>
    </xf>
    <xf numFmtId="165" fontId="9" fillId="8" borderId="11" xfId="1" applyNumberFormat="1" applyFont="1" applyFill="1" applyBorder="1" applyAlignment="1">
      <alignment horizontal="right"/>
    </xf>
    <xf numFmtId="165" fontId="9" fillId="8" borderId="1" xfId="1" applyNumberFormat="1" applyFont="1" applyFill="1" applyBorder="1" applyAlignment="1">
      <alignment horizontal="right"/>
    </xf>
    <xf numFmtId="4" fontId="7" fillId="6" borderId="1" xfId="0" applyNumberFormat="1" applyFont="1" applyFill="1" applyBorder="1" applyAlignment="1">
      <alignment horizontal="right"/>
    </xf>
    <xf numFmtId="0" fontId="0" fillId="7" borderId="0" xfId="0" applyFill="1"/>
    <xf numFmtId="0" fontId="0" fillId="7" borderId="0" xfId="0" applyFill="1" applyAlignment="1">
      <alignment textRotation="90"/>
    </xf>
    <xf numFmtId="0" fontId="0" fillId="0" borderId="1" xfId="0" applyFont="1" applyFill="1" applyBorder="1" applyAlignment="1">
      <alignment horizontal="left"/>
    </xf>
    <xf numFmtId="0" fontId="0" fillId="9" borderId="1" xfId="0" applyFont="1" applyFill="1" applyBorder="1" applyAlignment="1">
      <alignment horizontal="left"/>
    </xf>
    <xf numFmtId="3" fontId="0" fillId="0" borderId="1" xfId="0" applyNumberFormat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0" borderId="21" xfId="0" applyFill="1" applyBorder="1"/>
    <xf numFmtId="0" fontId="0" fillId="10" borderId="0" xfId="0" applyFill="1" applyBorder="1"/>
    <xf numFmtId="0" fontId="0" fillId="10" borderId="22" xfId="0" applyFill="1" applyBorder="1"/>
    <xf numFmtId="0" fontId="0" fillId="10" borderId="23" xfId="0" applyFill="1" applyBorder="1"/>
    <xf numFmtId="0" fontId="0" fillId="10" borderId="24" xfId="0" applyFill="1" applyBorder="1"/>
    <xf numFmtId="0" fontId="10" fillId="0" borderId="0" xfId="2"/>
    <xf numFmtId="0" fontId="0" fillId="0" borderId="0" xfId="0" applyAlignment="1">
      <alignment wrapText="1"/>
    </xf>
    <xf numFmtId="0" fontId="10" fillId="11" borderId="0" xfId="2" applyFill="1"/>
    <xf numFmtId="0" fontId="0" fillId="11" borderId="0" xfId="0" applyFill="1"/>
    <xf numFmtId="0" fontId="8" fillId="8" borderId="16" xfId="0" applyFont="1" applyFill="1" applyBorder="1" applyAlignment="1">
      <alignment horizontal="left"/>
    </xf>
    <xf numFmtId="0" fontId="8" fillId="8" borderId="17" xfId="0" applyFont="1" applyFill="1" applyBorder="1" applyAlignment="1">
      <alignment horizontal="left"/>
    </xf>
    <xf numFmtId="0" fontId="4" fillId="5" borderId="4" xfId="0" applyFont="1" applyFill="1" applyBorder="1"/>
    <xf numFmtId="0" fontId="4" fillId="5" borderId="5" xfId="0" applyFont="1" applyFill="1" applyBorder="1"/>
    <xf numFmtId="0" fontId="8" fillId="8" borderId="8" xfId="0" applyFont="1" applyFill="1" applyBorder="1" applyAlignment="1">
      <alignment horizontal="left"/>
    </xf>
    <xf numFmtId="0" fontId="8" fillId="8" borderId="9" xfId="0" applyFont="1" applyFill="1" applyBorder="1" applyAlignment="1">
      <alignment horizontal="left"/>
    </xf>
    <xf numFmtId="0" fontId="8" fillId="8" borderId="12" xfId="0" applyFont="1" applyFill="1" applyBorder="1" applyAlignment="1">
      <alignment horizontal="left"/>
    </xf>
    <xf numFmtId="0" fontId="8" fillId="8" borderId="13" xfId="0" applyFont="1" applyFill="1" applyBorder="1" applyAlignment="1">
      <alignment horizontal="left"/>
    </xf>
    <xf numFmtId="0" fontId="8" fillId="8" borderId="14" xfId="0" applyFont="1" applyFill="1" applyBorder="1" applyAlignment="1">
      <alignment horizontal="left"/>
    </xf>
    <xf numFmtId="0" fontId="8" fillId="8" borderId="15" xfId="0" applyFont="1" applyFill="1" applyBorder="1" applyAlignment="1">
      <alignment horizontal="left"/>
    </xf>
    <xf numFmtId="0" fontId="4" fillId="4" borderId="4" xfId="0" applyFont="1" applyFill="1" applyBorder="1"/>
    <xf numFmtId="0" fontId="4" fillId="4" borderId="5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</cellXfs>
  <cellStyles count="3">
    <cellStyle name="Гиперссылка" xfId="2" builtinId="8"/>
    <cellStyle name="Обычный" xfId="0" builtinId="0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85725</xdr:rowOff>
        </xdr:from>
        <xdr:to>
          <xdr:col>6</xdr:col>
          <xdr:colOff>9525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 складам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</xdr:row>
          <xdr:rowOff>28575</xdr:rowOff>
        </xdr:from>
        <xdr:to>
          <xdr:col>15</xdr:col>
          <xdr:colOff>19050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Рубашкину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5</xdr:row>
          <xdr:rowOff>57150</xdr:rowOff>
        </xdr:from>
        <xdr:to>
          <xdr:col>15</xdr:col>
          <xdr:colOff>9525</xdr:colOff>
          <xdr:row>7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УК_пополнение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V50"/>
  <sheetViews>
    <sheetView tabSelected="1" topLeftCell="B1" workbookViewId="0">
      <selection activeCell="J28" sqref="J28"/>
    </sheetView>
  </sheetViews>
  <sheetFormatPr defaultRowHeight="15" x14ac:dyDescent="0.25"/>
  <cols>
    <col min="1" max="1" width="0" hidden="1" customWidth="1"/>
    <col min="2" max="2" width="13.42578125" bestFit="1" customWidth="1"/>
    <col min="3" max="3" width="17.85546875" customWidth="1"/>
    <col min="6" max="6" width="5.42578125" hidden="1" customWidth="1"/>
    <col min="7" max="8" width="5.42578125" customWidth="1"/>
    <col min="9" max="9" width="13.42578125" bestFit="1" customWidth="1"/>
    <col min="10" max="10" width="19.5703125" customWidth="1"/>
    <col min="13" max="13" width="4.85546875" hidden="1" customWidth="1"/>
    <col min="14" max="14" width="4.85546875" customWidth="1"/>
    <col min="15" max="15" width="13.42578125" bestFit="1" customWidth="1"/>
    <col min="16" max="16" width="17.5703125" customWidth="1"/>
    <col min="19" max="19" width="5.28515625" hidden="1" customWidth="1"/>
    <col min="20" max="20" width="5.28515625" customWidth="1"/>
    <col min="21" max="21" width="13.42578125" bestFit="1" customWidth="1"/>
    <col min="22" max="22" width="17.42578125" customWidth="1"/>
    <col min="25" max="25" width="6.42578125" hidden="1" customWidth="1"/>
    <col min="27" max="27" width="13.42578125" bestFit="1" customWidth="1"/>
    <col min="28" max="28" width="15.5703125" customWidth="1"/>
    <col min="31" max="31" width="0" hidden="1" customWidth="1"/>
    <col min="37" max="37" width="0" hidden="1" customWidth="1"/>
    <col min="43" max="43" width="0" hidden="1" customWidth="1"/>
  </cols>
  <sheetData>
    <row r="1" spans="1:48" x14ac:dyDescent="0.25">
      <c r="B1" s="4" t="s">
        <v>3</v>
      </c>
      <c r="C1" s="4" t="s">
        <v>53</v>
      </c>
      <c r="I1" s="4" t="s">
        <v>3</v>
      </c>
      <c r="J1" s="4" t="s">
        <v>1</v>
      </c>
      <c r="O1" s="4" t="s">
        <v>3</v>
      </c>
      <c r="P1" s="4" t="s">
        <v>0</v>
      </c>
      <c r="U1" s="4" t="s">
        <v>3</v>
      </c>
      <c r="V1" s="4" t="s">
        <v>2</v>
      </c>
      <c r="AA1" s="4" t="s">
        <v>3</v>
      </c>
      <c r="AB1" s="4" t="s">
        <v>54</v>
      </c>
      <c r="AG1" s="4" t="s">
        <v>3</v>
      </c>
      <c r="AH1" s="4" t="s">
        <v>118</v>
      </c>
      <c r="AM1" s="4" t="s">
        <v>3</v>
      </c>
      <c r="AN1" s="4" t="s">
        <v>119</v>
      </c>
      <c r="AS1" s="4" t="s">
        <v>3</v>
      </c>
      <c r="AT1" s="4" t="s">
        <v>120</v>
      </c>
    </row>
    <row r="2" spans="1:48" x14ac:dyDescent="0.25">
      <c r="B2" s="4" t="s">
        <v>4</v>
      </c>
      <c r="C2" s="4">
        <f ca="1">SUM(D:D)</f>
        <v>0</v>
      </c>
      <c r="I2" s="4" t="s">
        <v>4</v>
      </c>
      <c r="J2" s="4">
        <f ca="1">SUM(K:K)</f>
        <v>0</v>
      </c>
      <c r="O2" s="4" t="s">
        <v>4</v>
      </c>
      <c r="P2" s="4">
        <f ca="1">SUM(Q:Q)</f>
        <v>0</v>
      </c>
      <c r="U2" s="4" t="s">
        <v>4</v>
      </c>
      <c r="V2" s="4">
        <f ca="1">SUM(W:W)</f>
        <v>0</v>
      </c>
      <c r="AA2" s="4" t="s">
        <v>4</v>
      </c>
      <c r="AB2" s="4">
        <f ca="1">SUM(AC:AC)</f>
        <v>0</v>
      </c>
      <c r="AG2" s="4" t="s">
        <v>4</v>
      </c>
      <c r="AH2" s="4">
        <f ca="1">SUM(AI:AI)</f>
        <v>0</v>
      </c>
      <c r="AM2" s="4" t="s">
        <v>4</v>
      </c>
      <c r="AN2" s="4">
        <f ca="1">SUM(AO:AO)</f>
        <v>0</v>
      </c>
      <c r="AS2" s="4" t="s">
        <v>4</v>
      </c>
      <c r="AT2" s="4">
        <f ca="1">SUM(AU:AU)</f>
        <v>0</v>
      </c>
    </row>
    <row r="3" spans="1:48" x14ac:dyDescent="0.25">
      <c r="B3" s="4" t="s">
        <v>5</v>
      </c>
      <c r="C3" s="4">
        <f ca="1">SUM(E:E)</f>
        <v>0</v>
      </c>
      <c r="I3" s="4" t="s">
        <v>5</v>
      </c>
      <c r="J3" s="4">
        <f ca="1">SUM(L:L)</f>
        <v>0</v>
      </c>
      <c r="O3" s="4" t="s">
        <v>5</v>
      </c>
      <c r="P3" s="4">
        <f ca="1">SUM(R:R)</f>
        <v>0</v>
      </c>
      <c r="U3" s="4" t="s">
        <v>5</v>
      </c>
      <c r="V3" s="4">
        <f ca="1">SUM(X:X)</f>
        <v>0</v>
      </c>
      <c r="AA3" s="4" t="s">
        <v>5</v>
      </c>
      <c r="AB3" s="4">
        <f ca="1">SUM(AD:AD)</f>
        <v>0</v>
      </c>
      <c r="AG3" s="4" t="s">
        <v>5</v>
      </c>
      <c r="AH3" s="4">
        <f ca="1">SUM(AJ:AJ)</f>
        <v>0</v>
      </c>
      <c r="AM3" s="4" t="s">
        <v>5</v>
      </c>
      <c r="AN3" s="4">
        <f ca="1">SUM(AP:AP)</f>
        <v>0</v>
      </c>
      <c r="AS3" s="4" t="s">
        <v>5</v>
      </c>
      <c r="AT3" s="4">
        <f ca="1">SUM(AV:AV)</f>
        <v>0</v>
      </c>
    </row>
    <row r="5" spans="1:48" x14ac:dyDescent="0.25">
      <c r="B5" s="1" t="s">
        <v>6</v>
      </c>
      <c r="C5" s="1" t="s">
        <v>52</v>
      </c>
      <c r="D5" s="1" t="s">
        <v>4</v>
      </c>
      <c r="E5" s="1" t="s">
        <v>5</v>
      </c>
      <c r="I5" s="1" t="s">
        <v>6</v>
      </c>
      <c r="J5" s="1" t="s">
        <v>52</v>
      </c>
      <c r="K5" s="1" t="s">
        <v>4</v>
      </c>
      <c r="L5" s="1" t="s">
        <v>5</v>
      </c>
      <c r="O5" s="1" t="s">
        <v>6</v>
      </c>
      <c r="P5" s="1" t="s">
        <v>52</v>
      </c>
      <c r="Q5" s="1" t="s">
        <v>4</v>
      </c>
      <c r="R5" s="1" t="s">
        <v>5</v>
      </c>
      <c r="U5" s="1" t="s">
        <v>6</v>
      </c>
      <c r="V5" s="1" t="s">
        <v>52</v>
      </c>
      <c r="W5" s="1" t="s">
        <v>4</v>
      </c>
      <c r="X5" s="1" t="s">
        <v>5</v>
      </c>
      <c r="AA5" s="1" t="s">
        <v>6</v>
      </c>
      <c r="AB5" s="1" t="s">
        <v>52</v>
      </c>
      <c r="AC5" s="1" t="s">
        <v>4</v>
      </c>
      <c r="AD5" s="1" t="s">
        <v>5</v>
      </c>
      <c r="AG5" s="1" t="s">
        <v>6</v>
      </c>
      <c r="AH5" s="1" t="s">
        <v>52</v>
      </c>
      <c r="AI5" s="1" t="s">
        <v>4</v>
      </c>
      <c r="AJ5" s="1" t="s">
        <v>5</v>
      </c>
      <c r="AM5" s="1" t="s">
        <v>6</v>
      </c>
      <c r="AN5" s="1" t="s">
        <v>52</v>
      </c>
      <c r="AO5" s="1" t="s">
        <v>4</v>
      </c>
      <c r="AP5" s="1" t="s">
        <v>5</v>
      </c>
      <c r="AS5" s="1" t="s">
        <v>6</v>
      </c>
      <c r="AT5" s="1" t="s">
        <v>52</v>
      </c>
      <c r="AU5" s="1" t="s">
        <v>4</v>
      </c>
      <c r="AV5" s="1" t="s">
        <v>5</v>
      </c>
    </row>
    <row r="6" spans="1:48" x14ac:dyDescent="0.25">
      <c r="A6" t="s">
        <v>7</v>
      </c>
      <c r="B6" s="1" t="str">
        <f ca="1">IFERROR(VLOOKUP($A6,База!$A:$BE,10,0),"")</f>
        <v/>
      </c>
      <c r="C6" s="1" t="str">
        <f ca="1">IFERROR(VLOOKUP($A6,База!$A:$BE,13,0),"")</f>
        <v/>
      </c>
      <c r="D6" s="1" t="str">
        <f ca="1">IFERROR(VLOOKUP($A6,База!$A:$BE,16,0),"")</f>
        <v/>
      </c>
      <c r="E6" s="1" t="str">
        <f ca="1">IFERROR(VLOOKUP($A6,База!$A:$BE,17,0),"")</f>
        <v/>
      </c>
      <c r="F6">
        <v>21</v>
      </c>
      <c r="I6" s="1" t="str">
        <f ca="1">IFERROR(VLOOKUP($F6,База!$A:$BE,10,0),"")</f>
        <v/>
      </c>
      <c r="J6" s="1" t="str">
        <f ca="1">IFERROR(VLOOKUP($F6,База!$A:$BE,13,0),"")</f>
        <v/>
      </c>
      <c r="K6" s="1" t="str">
        <f ca="1">IFERROR(VLOOKUP($F6,База!$A:$BE,16,0),"")</f>
        <v/>
      </c>
      <c r="L6" s="1" t="str">
        <f ca="1">IFERROR(VLOOKUP($F6,База!$A:$BE,17,0),"")</f>
        <v/>
      </c>
      <c r="M6">
        <v>31</v>
      </c>
      <c r="O6" s="1" t="str">
        <f ca="1">IFERROR(VLOOKUP($M6,База!$A:$BE,10,0),"")</f>
        <v/>
      </c>
      <c r="P6" s="1" t="str">
        <f ca="1">IFERROR(VLOOKUP($M6,База!$A:$BE,13,0),"")</f>
        <v/>
      </c>
      <c r="Q6" s="1" t="str">
        <f ca="1">IFERROR(VLOOKUP($M6,База!$A:$BE,16,0),"")</f>
        <v/>
      </c>
      <c r="R6" s="1" t="str">
        <f ca="1">IFERROR(VLOOKUP($M6,База!$A:$BE,17,0),"")</f>
        <v/>
      </c>
      <c r="S6">
        <v>41</v>
      </c>
      <c r="U6" s="1" t="str">
        <f ca="1">IFERROR(VLOOKUP($S6,База!$A:$BE,10,0),"")</f>
        <v/>
      </c>
      <c r="V6" s="1" t="str">
        <f ca="1">IFERROR(VLOOKUP($S6,База!$A:$BE,13,0),"")</f>
        <v/>
      </c>
      <c r="W6" s="1" t="str">
        <f ca="1">IFERROR(VLOOKUP($S6,База!$A:$BE,16,0),"")</f>
        <v/>
      </c>
      <c r="X6" s="1" t="str">
        <f ca="1">IFERROR(VLOOKUP($S6,База!$A:$BE,17,0),"")</f>
        <v/>
      </c>
      <c r="Y6" s="5">
        <v>51</v>
      </c>
      <c r="AA6" s="1" t="str">
        <f ca="1">IFERROR(VLOOKUP($Y6,База!$A:$BE,10,0),"")</f>
        <v/>
      </c>
      <c r="AB6" s="1" t="str">
        <f ca="1">IFERROR(VLOOKUP($Y6,База!$A:$BE,13,0),"")</f>
        <v/>
      </c>
      <c r="AC6" s="1" t="str">
        <f ca="1">IFERROR(VLOOKUP($Y6,База!$A:$BE,16,0),"")</f>
        <v/>
      </c>
      <c r="AD6" s="1" t="str">
        <f ca="1">IFERROR(VLOOKUP($Y6,База!$A:$BE,17,0),"")</f>
        <v/>
      </c>
      <c r="AE6" s="5">
        <v>61</v>
      </c>
      <c r="AG6" s="1" t="str">
        <f ca="1">IFERROR(VLOOKUP($AE6,База!$A:$BE,10,0),"")</f>
        <v/>
      </c>
      <c r="AH6" s="1" t="str">
        <f ca="1">IFERROR(VLOOKUP($AE6,База!$A:$BE,13,0),"")</f>
        <v/>
      </c>
      <c r="AI6" s="1" t="str">
        <f ca="1">IFERROR(VLOOKUP($AE6,База!$A:$BE,16,0),"")</f>
        <v/>
      </c>
      <c r="AJ6" s="1" t="str">
        <f ca="1">IFERROR(VLOOKUP($AE6,База!$A:$BE,17,0),"")</f>
        <v/>
      </c>
      <c r="AK6" s="5">
        <v>71</v>
      </c>
      <c r="AM6" s="1" t="str">
        <f ca="1">IFERROR(VLOOKUP($AK6,База!$A:$BE,10,0),"")</f>
        <v/>
      </c>
      <c r="AN6" s="1" t="str">
        <f ca="1">IFERROR(VLOOKUP($AK6,База!$A:$BE,13,0),"")</f>
        <v/>
      </c>
      <c r="AO6" s="1" t="str">
        <f ca="1">IFERROR(VLOOKUP($AK6,База!$A:$BE,16,0),"")</f>
        <v/>
      </c>
      <c r="AP6" s="1" t="str">
        <f ca="1">IFERROR(VLOOKUP($AK6,База!$A:$BE,17,0),"")</f>
        <v/>
      </c>
      <c r="AQ6" s="5">
        <v>81</v>
      </c>
      <c r="AS6" s="1" t="str">
        <f ca="1">IFERROR(VLOOKUP($AQ6,База!$A:$BE,10,0),"")</f>
        <v/>
      </c>
      <c r="AT6" s="1" t="str">
        <f ca="1">IFERROR(VLOOKUP($AQ6,База!$A:$BE,13,0),"")</f>
        <v/>
      </c>
      <c r="AU6" s="1" t="str">
        <f ca="1">IFERROR(VLOOKUP($AQ6,База!$A:$BE,16,0),"")</f>
        <v/>
      </c>
      <c r="AV6" s="1" t="str">
        <f ca="1">IFERROR(VLOOKUP($AQ6,База!$A:$BE,17,0),"")</f>
        <v/>
      </c>
    </row>
    <row r="7" spans="1:48" x14ac:dyDescent="0.25">
      <c r="A7" t="s">
        <v>8</v>
      </c>
      <c r="B7" s="1" t="str">
        <f ca="1">IFERROR(VLOOKUP($A7,База!$A:$BE,10,0),"")</f>
        <v/>
      </c>
      <c r="C7" s="1" t="str">
        <f ca="1">IFERROR(VLOOKUP($A7,База!$A:$BE,13,0),"")</f>
        <v/>
      </c>
      <c r="D7" s="1" t="str">
        <f ca="1">IFERROR(VLOOKUP($A7,База!$A:$BE,16,0),"")</f>
        <v/>
      </c>
      <c r="E7" s="1" t="str">
        <f ca="1">IFERROR(VLOOKUP($A7,База!$A:$BE,17,0),"")</f>
        <v/>
      </c>
      <c r="F7">
        <v>22</v>
      </c>
      <c r="I7" s="1" t="str">
        <f ca="1">IFERROR(VLOOKUP($F7,База!$A:$BE,10,0),"")</f>
        <v/>
      </c>
      <c r="J7" s="1" t="str">
        <f ca="1">IFERROR(VLOOKUP($F7,База!$A:$BE,13,0),"")</f>
        <v/>
      </c>
      <c r="K7" s="1" t="str">
        <f ca="1">IFERROR(VLOOKUP($F7,База!$A:$BE,16,0),"")</f>
        <v/>
      </c>
      <c r="L7" s="1" t="str">
        <f ca="1">IFERROR(VLOOKUP($F7,База!$A:$BE,17,0),"")</f>
        <v/>
      </c>
      <c r="M7">
        <v>32</v>
      </c>
      <c r="O7" s="1" t="str">
        <f ca="1">IFERROR(VLOOKUP($M7,База!$A:$BE,10,0),"")</f>
        <v/>
      </c>
      <c r="P7" s="1" t="str">
        <f ca="1">IFERROR(VLOOKUP($M7,База!$A:$BE,13,0),"")</f>
        <v/>
      </c>
      <c r="Q7" s="1" t="str">
        <f ca="1">IFERROR(VLOOKUP($M7,База!$A:$BE,16,0),"")</f>
        <v/>
      </c>
      <c r="R7" s="1" t="str">
        <f ca="1">IFERROR(VLOOKUP($M7,База!$A:$BE,17,0),"")</f>
        <v/>
      </c>
      <c r="S7">
        <v>42</v>
      </c>
      <c r="U7" s="1" t="str">
        <f ca="1">IFERROR(VLOOKUP($S7,База!$A:$BE,10,0),"")</f>
        <v/>
      </c>
      <c r="V7" s="1" t="str">
        <f ca="1">IFERROR(VLOOKUP($S7,База!$A:$BE,13,0),"")</f>
        <v/>
      </c>
      <c r="W7" s="1" t="str">
        <f ca="1">IFERROR(VLOOKUP($S7,База!$A:$BE,16,0),"")</f>
        <v/>
      </c>
      <c r="X7" s="1" t="str">
        <f ca="1">IFERROR(VLOOKUP($S7,База!$A:$BE,17,0),"")</f>
        <v/>
      </c>
      <c r="Y7" s="5">
        <v>52</v>
      </c>
      <c r="AA7" s="1" t="str">
        <f ca="1">IFERROR(VLOOKUP($Y7,База!$A:$BE,10,0),"")</f>
        <v/>
      </c>
      <c r="AB7" s="1" t="str">
        <f ca="1">IFERROR(VLOOKUP($Y7,База!$A:$BE,13,0),"")</f>
        <v/>
      </c>
      <c r="AC7" s="1" t="str">
        <f ca="1">IFERROR(VLOOKUP($Y7,База!$A:$BE,16,0),"")</f>
        <v/>
      </c>
      <c r="AD7" s="1" t="str">
        <f ca="1">IFERROR(VLOOKUP($Y7,База!$A:$BE,17,0),"")</f>
        <v/>
      </c>
      <c r="AE7" s="5">
        <v>62</v>
      </c>
      <c r="AG7" s="1" t="str">
        <f ca="1">IFERROR(VLOOKUP($AE7,База!$A:$BE,10,0),"")</f>
        <v/>
      </c>
      <c r="AH7" s="1" t="str">
        <f ca="1">IFERROR(VLOOKUP($AE7,База!$A:$BE,13,0),"")</f>
        <v/>
      </c>
      <c r="AI7" s="1" t="str">
        <f ca="1">IFERROR(VLOOKUP($AE7,База!$A:$BE,16,0),"")</f>
        <v/>
      </c>
      <c r="AJ7" s="1" t="str">
        <f ca="1">IFERROR(VLOOKUP($AE7,База!$A:$BE,17,0),"")</f>
        <v/>
      </c>
      <c r="AK7" s="5">
        <v>72</v>
      </c>
      <c r="AM7" s="1" t="str">
        <f ca="1">IFERROR(VLOOKUP($AK7,База!$A:$BE,10,0),"")</f>
        <v/>
      </c>
      <c r="AN7" s="1" t="str">
        <f ca="1">IFERROR(VLOOKUP($AK7,База!$A:$BE,13,0),"")</f>
        <v/>
      </c>
      <c r="AO7" s="1" t="str">
        <f ca="1">IFERROR(VLOOKUP($AK7,База!$A:$BE,16,0),"")</f>
        <v/>
      </c>
      <c r="AP7" s="1" t="str">
        <f ca="1">IFERROR(VLOOKUP($AK7,База!$A:$BE,17,0),"")</f>
        <v/>
      </c>
      <c r="AQ7" s="5">
        <v>82</v>
      </c>
      <c r="AS7" s="1" t="str">
        <f ca="1">IFERROR(VLOOKUP($AQ7,База!$A:$BE,10,0),"")</f>
        <v/>
      </c>
      <c r="AT7" s="1" t="str">
        <f ca="1">IFERROR(VLOOKUP($AQ7,База!$A:$BE,13,0),"")</f>
        <v/>
      </c>
      <c r="AU7" s="1" t="str">
        <f ca="1">IFERROR(VLOOKUP($AQ7,База!$A:$BE,16,0),"")</f>
        <v/>
      </c>
      <c r="AV7" s="1" t="str">
        <f ca="1">IFERROR(VLOOKUP($AQ7,База!$A:$BE,17,0),"")</f>
        <v/>
      </c>
    </row>
    <row r="8" spans="1:48" x14ac:dyDescent="0.25">
      <c r="A8" t="s">
        <v>9</v>
      </c>
      <c r="B8" s="1" t="str">
        <f ca="1">IFERROR(VLOOKUP($A8,База!$A:$BE,10,0),"")</f>
        <v/>
      </c>
      <c r="C8" s="1" t="str">
        <f ca="1">IFERROR(VLOOKUP($A8,База!$A:$BE,13,0),"")</f>
        <v/>
      </c>
      <c r="D8" s="1" t="str">
        <f ca="1">IFERROR(VLOOKUP($A8,База!$A:$BE,16,0),"")</f>
        <v/>
      </c>
      <c r="E8" s="1" t="str">
        <f ca="1">IFERROR(VLOOKUP($A8,База!$A:$BE,17,0),"")</f>
        <v/>
      </c>
      <c r="F8">
        <v>23</v>
      </c>
      <c r="I8" s="1" t="str">
        <f ca="1">IFERROR(VLOOKUP($F8,База!$A:$BE,10,0),"")</f>
        <v/>
      </c>
      <c r="J8" s="1" t="str">
        <f ca="1">IFERROR(VLOOKUP($F8,База!$A:$BE,13,0),"")</f>
        <v/>
      </c>
      <c r="K8" s="1" t="str">
        <f ca="1">IFERROR(VLOOKUP($F8,База!$A:$BE,16,0),"")</f>
        <v/>
      </c>
      <c r="L8" s="1" t="str">
        <f ca="1">IFERROR(VLOOKUP($F8,База!$A:$BE,17,0),"")</f>
        <v/>
      </c>
      <c r="M8">
        <v>33</v>
      </c>
      <c r="O8" s="1" t="str">
        <f ca="1">IFERROR(VLOOKUP($M8,База!$A:$BE,10,0),"")</f>
        <v/>
      </c>
      <c r="P8" s="1" t="str">
        <f ca="1">IFERROR(VLOOKUP($M8,База!$A:$BE,13,0),"")</f>
        <v/>
      </c>
      <c r="Q8" s="1" t="str">
        <f ca="1">IFERROR(VLOOKUP($M8,База!$A:$BE,16,0),"")</f>
        <v/>
      </c>
      <c r="R8" s="1" t="str">
        <f ca="1">IFERROR(VLOOKUP($M8,База!$A:$BE,17,0),"")</f>
        <v/>
      </c>
      <c r="S8">
        <v>43</v>
      </c>
      <c r="U8" s="1" t="str">
        <f ca="1">IFERROR(VLOOKUP($S8,База!$A:$BE,10,0),"")</f>
        <v/>
      </c>
      <c r="V8" s="1" t="str">
        <f ca="1">IFERROR(VLOOKUP($S8,База!$A:$BE,13,0),"")</f>
        <v/>
      </c>
      <c r="W8" s="1" t="str">
        <f ca="1">IFERROR(VLOOKUP($S8,База!$A:$BE,16,0),"")</f>
        <v/>
      </c>
      <c r="X8" s="1" t="str">
        <f ca="1">IFERROR(VLOOKUP($S8,База!$A:$BE,17,0),"")</f>
        <v/>
      </c>
      <c r="Y8" s="5">
        <v>53</v>
      </c>
      <c r="AA8" s="1" t="str">
        <f ca="1">IFERROR(VLOOKUP($Y8,База!$A:$BE,10,0),"")</f>
        <v/>
      </c>
      <c r="AB8" s="1" t="str">
        <f ca="1">IFERROR(VLOOKUP($Y8,База!$A:$BE,13,0),"")</f>
        <v/>
      </c>
      <c r="AC8" s="1" t="str">
        <f ca="1">IFERROR(VLOOKUP($Y8,База!$A:$BE,16,0),"")</f>
        <v/>
      </c>
      <c r="AD8" s="1" t="str">
        <f ca="1">IFERROR(VLOOKUP($Y8,База!$A:$BE,17,0),"")</f>
        <v/>
      </c>
      <c r="AE8" s="5">
        <v>63</v>
      </c>
      <c r="AG8" s="1" t="str">
        <f ca="1">IFERROR(VLOOKUP($AE8,База!$A:$BE,10,0),"")</f>
        <v/>
      </c>
      <c r="AH8" s="1" t="str">
        <f ca="1">IFERROR(VLOOKUP($AE8,База!$A:$BE,13,0),"")</f>
        <v/>
      </c>
      <c r="AI8" s="1" t="str">
        <f ca="1">IFERROR(VLOOKUP($AE8,База!$A:$BE,16,0),"")</f>
        <v/>
      </c>
      <c r="AJ8" s="1" t="str">
        <f ca="1">IFERROR(VLOOKUP($AE8,База!$A:$BE,17,0),"")</f>
        <v/>
      </c>
      <c r="AK8" s="5">
        <v>73</v>
      </c>
      <c r="AM8" s="1" t="str">
        <f ca="1">IFERROR(VLOOKUP($AK8,База!$A:$BE,10,0),"")</f>
        <v/>
      </c>
      <c r="AN8" s="1" t="str">
        <f ca="1">IFERROR(VLOOKUP($AK8,База!$A:$BE,13,0),"")</f>
        <v/>
      </c>
      <c r="AO8" s="1" t="str">
        <f ca="1">IFERROR(VLOOKUP($AK8,База!$A:$BE,16,0),"")</f>
        <v/>
      </c>
      <c r="AP8" s="1" t="str">
        <f ca="1">IFERROR(VLOOKUP($AK8,База!$A:$BE,17,0),"")</f>
        <v/>
      </c>
      <c r="AQ8" s="5">
        <v>83</v>
      </c>
      <c r="AS8" s="1" t="str">
        <f ca="1">IFERROR(VLOOKUP($AQ8,База!$A:$BE,10,0),"")</f>
        <v/>
      </c>
      <c r="AT8" s="1" t="str">
        <f ca="1">IFERROR(VLOOKUP($AQ8,База!$A:$BE,13,0),"")</f>
        <v/>
      </c>
      <c r="AU8" s="1" t="str">
        <f ca="1">IFERROR(VLOOKUP($AQ8,База!$A:$BE,16,0),"")</f>
        <v/>
      </c>
      <c r="AV8" s="1" t="str">
        <f ca="1">IFERROR(VLOOKUP($AQ8,База!$A:$BE,17,0),"")</f>
        <v/>
      </c>
    </row>
    <row r="9" spans="1:48" x14ac:dyDescent="0.25">
      <c r="A9" t="s">
        <v>10</v>
      </c>
      <c r="B9" s="1" t="str">
        <f ca="1">IFERROR(VLOOKUP($A9,База!$A:$BE,10,0),"")</f>
        <v/>
      </c>
      <c r="C9" s="1" t="str">
        <f ca="1">IFERROR(VLOOKUP($A9,База!$A:$BE,13,0),"")</f>
        <v/>
      </c>
      <c r="D9" s="1" t="str">
        <f ca="1">IFERROR(VLOOKUP($A9,База!$A:$BE,16,0),"")</f>
        <v/>
      </c>
      <c r="E9" s="1" t="str">
        <f ca="1">IFERROR(VLOOKUP($A9,База!$A:$BE,17,0),"")</f>
        <v/>
      </c>
      <c r="F9">
        <v>24</v>
      </c>
      <c r="I9" s="1" t="str">
        <f ca="1">IFERROR(VLOOKUP($F9,База!$A:$BE,10,0),"")</f>
        <v/>
      </c>
      <c r="J9" s="1" t="str">
        <f ca="1">IFERROR(VLOOKUP($F9,База!$A:$BE,13,0),"")</f>
        <v/>
      </c>
      <c r="K9" s="1" t="str">
        <f ca="1">IFERROR(VLOOKUP($F9,База!$A:$BE,16,0),"")</f>
        <v/>
      </c>
      <c r="L9" s="1" t="str">
        <f ca="1">IFERROR(VLOOKUP($F9,База!$A:$BE,17,0),"")</f>
        <v/>
      </c>
      <c r="M9">
        <v>34</v>
      </c>
      <c r="O9" s="1" t="str">
        <f ca="1">IFERROR(VLOOKUP($M9,База!$A:$BE,10,0),"")</f>
        <v/>
      </c>
      <c r="P9" s="1" t="str">
        <f ca="1">IFERROR(VLOOKUP($M9,База!$A:$BE,13,0),"")</f>
        <v/>
      </c>
      <c r="Q9" s="1" t="str">
        <f ca="1">IFERROR(VLOOKUP($M9,База!$A:$BE,16,0),"")</f>
        <v/>
      </c>
      <c r="R9" s="1" t="str">
        <f ca="1">IFERROR(VLOOKUP($M9,База!$A:$BE,17,0),"")</f>
        <v/>
      </c>
      <c r="S9">
        <v>44</v>
      </c>
      <c r="U9" s="1" t="str">
        <f ca="1">IFERROR(VLOOKUP($S9,База!$A:$BE,10,0),"")</f>
        <v/>
      </c>
      <c r="V9" s="1" t="str">
        <f ca="1">IFERROR(VLOOKUP($S9,База!$A:$BE,13,0),"")</f>
        <v/>
      </c>
      <c r="W9" s="1" t="str">
        <f ca="1">IFERROR(VLOOKUP($S9,База!$A:$BE,16,0),"")</f>
        <v/>
      </c>
      <c r="X9" s="1" t="str">
        <f ca="1">IFERROR(VLOOKUP($S9,База!$A:$BE,17,0),"")</f>
        <v/>
      </c>
      <c r="Y9" s="5">
        <v>54</v>
      </c>
      <c r="AA9" s="1" t="str">
        <f ca="1">IFERROR(VLOOKUP($Y9,База!$A:$BE,10,0),"")</f>
        <v/>
      </c>
      <c r="AB9" s="1" t="str">
        <f ca="1">IFERROR(VLOOKUP($Y9,База!$A:$BE,13,0),"")</f>
        <v/>
      </c>
      <c r="AC9" s="1" t="str">
        <f ca="1">IFERROR(VLOOKUP($Y9,База!$A:$BE,16,0),"")</f>
        <v/>
      </c>
      <c r="AD9" s="1" t="str">
        <f ca="1">IFERROR(VLOOKUP($Y9,База!$A:$BE,17,0),"")</f>
        <v/>
      </c>
      <c r="AE9" s="5">
        <v>64</v>
      </c>
      <c r="AG9" s="1" t="str">
        <f ca="1">IFERROR(VLOOKUP($AE9,База!$A:$BE,10,0),"")</f>
        <v/>
      </c>
      <c r="AH9" s="1" t="str">
        <f ca="1">IFERROR(VLOOKUP($AE9,База!$A:$BE,13,0),"")</f>
        <v/>
      </c>
      <c r="AI9" s="1" t="str">
        <f ca="1">IFERROR(VLOOKUP($AE9,База!$A:$BE,16,0),"")</f>
        <v/>
      </c>
      <c r="AJ9" s="1" t="str">
        <f ca="1">IFERROR(VLOOKUP($AE9,База!$A:$BE,17,0),"")</f>
        <v/>
      </c>
      <c r="AK9" s="5">
        <v>74</v>
      </c>
      <c r="AM9" s="1" t="str">
        <f ca="1">IFERROR(VLOOKUP($AK9,База!$A:$BE,10,0),"")</f>
        <v/>
      </c>
      <c r="AN9" s="1" t="str">
        <f ca="1">IFERROR(VLOOKUP($AK9,База!$A:$BE,13,0),"")</f>
        <v/>
      </c>
      <c r="AO9" s="1" t="str">
        <f ca="1">IFERROR(VLOOKUP($AK9,База!$A:$BE,16,0),"")</f>
        <v/>
      </c>
      <c r="AP9" s="1" t="str">
        <f ca="1">IFERROR(VLOOKUP($AK9,База!$A:$BE,17,0),"")</f>
        <v/>
      </c>
      <c r="AQ9" s="5">
        <v>84</v>
      </c>
      <c r="AS9" s="1" t="str">
        <f ca="1">IFERROR(VLOOKUP($AQ9,База!$A:$BE,10,0),"")</f>
        <v/>
      </c>
      <c r="AT9" s="1" t="str">
        <f ca="1">IFERROR(VLOOKUP($AQ9,База!$A:$BE,13,0),"")</f>
        <v/>
      </c>
      <c r="AU9" s="1" t="str">
        <f ca="1">IFERROR(VLOOKUP($AQ9,База!$A:$BE,16,0),"")</f>
        <v/>
      </c>
      <c r="AV9" s="1" t="str">
        <f ca="1">IFERROR(VLOOKUP($AQ9,База!$A:$BE,17,0),"")</f>
        <v/>
      </c>
    </row>
    <row r="10" spans="1:48" x14ac:dyDescent="0.25">
      <c r="A10" t="s">
        <v>11</v>
      </c>
      <c r="B10" s="1" t="str">
        <f ca="1">IFERROR(VLOOKUP($A10,База!$A:$BE,10,0),"")</f>
        <v/>
      </c>
      <c r="C10" s="1" t="str">
        <f ca="1">IFERROR(VLOOKUP($A10,База!$A:$BE,13,0),"")</f>
        <v/>
      </c>
      <c r="D10" s="1" t="str">
        <f ca="1">IFERROR(VLOOKUP($A10,База!$A:$BE,16,0),"")</f>
        <v/>
      </c>
      <c r="E10" s="1" t="str">
        <f ca="1">IFERROR(VLOOKUP($A10,База!$A:$BE,17,0),"")</f>
        <v/>
      </c>
      <c r="F10">
        <v>25</v>
      </c>
      <c r="I10" s="1" t="str">
        <f ca="1">IFERROR(VLOOKUP($F10,База!$A:$BE,10,0),"")</f>
        <v/>
      </c>
      <c r="J10" s="1" t="str">
        <f ca="1">IFERROR(VLOOKUP($F10,База!$A:$BE,13,0),"")</f>
        <v/>
      </c>
      <c r="K10" s="1" t="str">
        <f ca="1">IFERROR(VLOOKUP($F10,База!$A:$BE,16,0),"")</f>
        <v/>
      </c>
      <c r="L10" s="1" t="str">
        <f ca="1">IFERROR(VLOOKUP($F10,База!$A:$BE,17,0),"")</f>
        <v/>
      </c>
      <c r="M10">
        <v>35</v>
      </c>
      <c r="O10" s="1" t="str">
        <f ca="1">IFERROR(VLOOKUP($M10,База!$A:$BE,10,0),"")</f>
        <v/>
      </c>
      <c r="P10" s="1" t="str">
        <f ca="1">IFERROR(VLOOKUP($M10,База!$A:$BE,13,0),"")</f>
        <v/>
      </c>
      <c r="Q10" s="1" t="str">
        <f ca="1">IFERROR(VLOOKUP($M10,База!$A:$BE,16,0),"")</f>
        <v/>
      </c>
      <c r="R10" s="1" t="str">
        <f ca="1">IFERROR(VLOOKUP($M10,База!$A:$BE,17,0),"")</f>
        <v/>
      </c>
      <c r="S10">
        <v>45</v>
      </c>
      <c r="U10" s="1" t="str">
        <f ca="1">IFERROR(VLOOKUP($S10,База!$A:$BE,10,0),"")</f>
        <v/>
      </c>
      <c r="V10" s="1" t="str">
        <f ca="1">IFERROR(VLOOKUP($S10,База!$A:$BE,13,0),"")</f>
        <v/>
      </c>
      <c r="W10" s="1" t="str">
        <f ca="1">IFERROR(VLOOKUP($S10,База!$A:$BE,16,0),"")</f>
        <v/>
      </c>
      <c r="X10" s="1" t="str">
        <f ca="1">IFERROR(VLOOKUP($S10,База!$A:$BE,17,0),"")</f>
        <v/>
      </c>
      <c r="Y10" s="5">
        <v>55</v>
      </c>
      <c r="AA10" s="1" t="str">
        <f ca="1">IFERROR(VLOOKUP($Y10,База!$A:$BE,10,0),"")</f>
        <v/>
      </c>
      <c r="AB10" s="1" t="str">
        <f ca="1">IFERROR(VLOOKUP($Y10,База!$A:$BE,13,0),"")</f>
        <v/>
      </c>
      <c r="AC10" s="1" t="str">
        <f ca="1">IFERROR(VLOOKUP($Y10,База!$A:$BE,16,0),"")</f>
        <v/>
      </c>
      <c r="AD10" s="1" t="str">
        <f ca="1">IFERROR(VLOOKUP($Y10,База!$A:$BE,17,0),"")</f>
        <v/>
      </c>
      <c r="AE10" s="5">
        <v>65</v>
      </c>
      <c r="AG10" s="1" t="str">
        <f ca="1">IFERROR(VLOOKUP($AE10,База!$A:$BE,10,0),"")</f>
        <v/>
      </c>
      <c r="AH10" s="1" t="str">
        <f ca="1">IFERROR(VLOOKUP($AE10,База!$A:$BE,13,0),"")</f>
        <v/>
      </c>
      <c r="AI10" s="1" t="str">
        <f ca="1">IFERROR(VLOOKUP($AE10,База!$A:$BE,16,0),"")</f>
        <v/>
      </c>
      <c r="AJ10" s="1" t="str">
        <f ca="1">IFERROR(VLOOKUP($AE10,База!$A:$BE,17,0),"")</f>
        <v/>
      </c>
      <c r="AK10" s="5">
        <v>75</v>
      </c>
      <c r="AM10" s="1" t="str">
        <f ca="1">IFERROR(VLOOKUP($AK10,База!$A:$BE,10,0),"")</f>
        <v/>
      </c>
      <c r="AN10" s="1" t="str">
        <f ca="1">IFERROR(VLOOKUP($AK10,База!$A:$BE,13,0),"")</f>
        <v/>
      </c>
      <c r="AO10" s="1" t="str">
        <f ca="1">IFERROR(VLOOKUP($AK10,База!$A:$BE,16,0),"")</f>
        <v/>
      </c>
      <c r="AP10" s="1" t="str">
        <f ca="1">IFERROR(VLOOKUP($AK10,База!$A:$BE,17,0),"")</f>
        <v/>
      </c>
      <c r="AQ10" s="5">
        <v>85</v>
      </c>
      <c r="AS10" s="1" t="str">
        <f ca="1">IFERROR(VLOOKUP($AQ10,База!$A:$BE,10,0),"")</f>
        <v/>
      </c>
      <c r="AT10" s="1" t="str">
        <f ca="1">IFERROR(VLOOKUP($AQ10,База!$A:$BE,13,0),"")</f>
        <v/>
      </c>
      <c r="AU10" s="1" t="str">
        <f ca="1">IFERROR(VLOOKUP($AQ10,База!$A:$BE,16,0),"")</f>
        <v/>
      </c>
      <c r="AV10" s="1" t="str">
        <f ca="1">IFERROR(VLOOKUP($AQ10,База!$A:$BE,17,0),"")</f>
        <v/>
      </c>
    </row>
    <row r="11" spans="1:48" x14ac:dyDescent="0.25">
      <c r="A11" t="s">
        <v>12</v>
      </c>
      <c r="B11" s="1" t="str">
        <f ca="1">IFERROR(VLOOKUP($A11,База!$A:$BE,10,0),"")</f>
        <v/>
      </c>
      <c r="C11" s="1" t="str">
        <f ca="1">IFERROR(VLOOKUP($A11,База!$A:$BE,13,0),"")</f>
        <v/>
      </c>
      <c r="D11" s="1" t="str">
        <f ca="1">IFERROR(VLOOKUP($A11,База!$A:$BE,16,0),"")</f>
        <v/>
      </c>
      <c r="E11" s="1" t="str">
        <f ca="1">IFERROR(VLOOKUP($A11,База!$A:$BE,17,0),"")</f>
        <v/>
      </c>
      <c r="F11">
        <v>26</v>
      </c>
      <c r="I11" s="1" t="str">
        <f ca="1">IFERROR(VLOOKUP($F11,База!$A:$BE,10,0),"")</f>
        <v/>
      </c>
      <c r="J11" s="1" t="str">
        <f ca="1">IFERROR(VLOOKUP($F11,База!$A:$BE,13,0),"")</f>
        <v/>
      </c>
      <c r="K11" s="1" t="str">
        <f ca="1">IFERROR(VLOOKUP($F11,База!$A:$BE,16,0),"")</f>
        <v/>
      </c>
      <c r="L11" s="1" t="str">
        <f ca="1">IFERROR(VLOOKUP($F11,База!$A:$BE,17,0),"")</f>
        <v/>
      </c>
      <c r="M11">
        <v>36</v>
      </c>
      <c r="O11" s="1" t="str">
        <f ca="1">IFERROR(VLOOKUP($M11,База!$A:$BE,10,0),"")</f>
        <v/>
      </c>
      <c r="P11" s="1" t="str">
        <f ca="1">IFERROR(VLOOKUP($M11,База!$A:$BE,13,0),"")</f>
        <v/>
      </c>
      <c r="Q11" s="1" t="str">
        <f ca="1">IFERROR(VLOOKUP($M11,База!$A:$BE,16,0),"")</f>
        <v/>
      </c>
      <c r="R11" s="1" t="str">
        <f ca="1">IFERROR(VLOOKUP($M11,База!$A:$BE,17,0),"")</f>
        <v/>
      </c>
      <c r="S11">
        <v>46</v>
      </c>
      <c r="U11" s="1" t="str">
        <f ca="1">IFERROR(VLOOKUP($S11,База!$A:$BE,10,0),"")</f>
        <v/>
      </c>
      <c r="V11" s="1" t="str">
        <f ca="1">IFERROR(VLOOKUP($S11,База!$A:$BE,13,0),"")</f>
        <v/>
      </c>
      <c r="W11" s="1" t="str">
        <f ca="1">IFERROR(VLOOKUP($S11,База!$A:$BE,16,0),"")</f>
        <v/>
      </c>
      <c r="X11" s="1" t="str">
        <f ca="1">IFERROR(VLOOKUP($S11,База!$A:$BE,17,0),"")</f>
        <v/>
      </c>
      <c r="Y11" s="5">
        <v>56</v>
      </c>
      <c r="AA11" s="1" t="str">
        <f ca="1">IFERROR(VLOOKUP($Y11,База!$A:$BE,10,0),"")</f>
        <v/>
      </c>
      <c r="AB11" s="1" t="str">
        <f ca="1">IFERROR(VLOOKUP($Y11,База!$A:$BE,13,0),"")</f>
        <v/>
      </c>
      <c r="AC11" s="1" t="str">
        <f ca="1">IFERROR(VLOOKUP($Y11,База!$A:$BE,16,0),"")</f>
        <v/>
      </c>
      <c r="AD11" s="1" t="str">
        <f ca="1">IFERROR(VLOOKUP($Y11,База!$A:$BE,17,0),"")</f>
        <v/>
      </c>
      <c r="AE11" s="5">
        <v>66</v>
      </c>
      <c r="AG11" s="1" t="str">
        <f ca="1">IFERROR(VLOOKUP($AE11,База!$A:$BE,10,0),"")</f>
        <v/>
      </c>
      <c r="AH11" s="1" t="str">
        <f ca="1">IFERROR(VLOOKUP($AE11,База!$A:$BE,13,0),"")</f>
        <v/>
      </c>
      <c r="AI11" s="1" t="str">
        <f ca="1">IFERROR(VLOOKUP($AE11,База!$A:$BE,16,0),"")</f>
        <v/>
      </c>
      <c r="AJ11" s="1" t="str">
        <f ca="1">IFERROR(VLOOKUP($AE11,База!$A:$BE,17,0),"")</f>
        <v/>
      </c>
      <c r="AK11" s="5">
        <v>76</v>
      </c>
      <c r="AM11" s="1" t="str">
        <f ca="1">IFERROR(VLOOKUP($AK11,База!$A:$BE,10,0),"")</f>
        <v/>
      </c>
      <c r="AN11" s="1" t="str">
        <f ca="1">IFERROR(VLOOKUP($AK11,База!$A:$BE,13,0),"")</f>
        <v/>
      </c>
      <c r="AO11" s="1" t="str">
        <f ca="1">IFERROR(VLOOKUP($AK11,База!$A:$BE,16,0),"")</f>
        <v/>
      </c>
      <c r="AP11" s="1" t="str">
        <f ca="1">IFERROR(VLOOKUP($AK11,База!$A:$BE,17,0),"")</f>
        <v/>
      </c>
      <c r="AQ11" s="5">
        <v>86</v>
      </c>
      <c r="AS11" s="1" t="str">
        <f ca="1">IFERROR(VLOOKUP($AQ11,База!$A:$BE,10,0),"")</f>
        <v/>
      </c>
      <c r="AT11" s="1" t="str">
        <f ca="1">IFERROR(VLOOKUP($AQ11,База!$A:$BE,13,0),"")</f>
        <v/>
      </c>
      <c r="AU11" s="1" t="str">
        <f ca="1">IFERROR(VLOOKUP($AQ11,База!$A:$BE,16,0),"")</f>
        <v/>
      </c>
      <c r="AV11" s="1" t="str">
        <f ca="1">IFERROR(VLOOKUP($AQ11,База!$A:$BE,17,0),"")</f>
        <v/>
      </c>
    </row>
    <row r="12" spans="1:48" x14ac:dyDescent="0.25">
      <c r="A12" t="s">
        <v>13</v>
      </c>
      <c r="B12" s="1" t="str">
        <f ca="1">IFERROR(VLOOKUP($A12,База!$A:$BE,10,0),"")</f>
        <v/>
      </c>
      <c r="C12" s="1" t="str">
        <f ca="1">IFERROR(VLOOKUP($A12,База!$A:$BE,13,0),"")</f>
        <v/>
      </c>
      <c r="D12" s="1" t="str">
        <f ca="1">IFERROR(VLOOKUP($A12,База!$A:$BE,16,0),"")</f>
        <v/>
      </c>
      <c r="E12" s="1" t="str">
        <f ca="1">IFERROR(VLOOKUP($A12,База!$A:$BE,17,0),"")</f>
        <v/>
      </c>
      <c r="F12">
        <v>27</v>
      </c>
      <c r="I12" s="1" t="str">
        <f ca="1">IFERROR(VLOOKUP($F12,База!$A:$BE,10,0),"")</f>
        <v/>
      </c>
      <c r="J12" s="1" t="str">
        <f ca="1">IFERROR(VLOOKUP($F12,База!$A:$BE,13,0),"")</f>
        <v/>
      </c>
      <c r="K12" s="1" t="str">
        <f ca="1">IFERROR(VLOOKUP($F12,База!$A:$BE,16,0),"")</f>
        <v/>
      </c>
      <c r="L12" s="1" t="str">
        <f ca="1">IFERROR(VLOOKUP($F12,База!$A:$BE,17,0),"")</f>
        <v/>
      </c>
      <c r="M12">
        <v>37</v>
      </c>
      <c r="O12" s="1" t="str">
        <f ca="1">IFERROR(VLOOKUP($M12,База!$A:$BE,10,0),"")</f>
        <v/>
      </c>
      <c r="P12" s="1" t="str">
        <f ca="1">IFERROR(VLOOKUP($M12,База!$A:$BE,13,0),"")</f>
        <v/>
      </c>
      <c r="Q12" s="1" t="str">
        <f ca="1">IFERROR(VLOOKUP($M12,База!$A:$BE,16,0),"")</f>
        <v/>
      </c>
      <c r="R12" s="1" t="str">
        <f ca="1">IFERROR(VLOOKUP($M12,База!$A:$BE,17,0),"")</f>
        <v/>
      </c>
      <c r="S12">
        <v>47</v>
      </c>
      <c r="U12" s="1" t="str">
        <f ca="1">IFERROR(VLOOKUP($S12,База!$A:$BE,10,0),"")</f>
        <v/>
      </c>
      <c r="V12" s="1" t="str">
        <f ca="1">IFERROR(VLOOKUP($S12,База!$A:$BE,13,0),"")</f>
        <v/>
      </c>
      <c r="W12" s="1" t="str">
        <f ca="1">IFERROR(VLOOKUP($S12,База!$A:$BE,16,0),"")</f>
        <v/>
      </c>
      <c r="X12" s="1" t="str">
        <f ca="1">IFERROR(VLOOKUP($S12,База!$A:$BE,17,0),"")</f>
        <v/>
      </c>
      <c r="Y12" s="5">
        <v>57</v>
      </c>
      <c r="AA12" s="1" t="str">
        <f ca="1">IFERROR(VLOOKUP($Y12,База!$A:$BE,10,0),"")</f>
        <v/>
      </c>
      <c r="AB12" s="1" t="str">
        <f ca="1">IFERROR(VLOOKUP($Y12,База!$A:$BE,13,0),"")</f>
        <v/>
      </c>
      <c r="AC12" s="1" t="str">
        <f ca="1">IFERROR(VLOOKUP($Y12,База!$A:$BE,16,0),"")</f>
        <v/>
      </c>
      <c r="AD12" s="1" t="str">
        <f ca="1">IFERROR(VLOOKUP($Y12,База!$A:$BE,17,0),"")</f>
        <v/>
      </c>
      <c r="AE12" s="5">
        <v>67</v>
      </c>
      <c r="AG12" s="1" t="str">
        <f ca="1">IFERROR(VLOOKUP($AE12,База!$A:$BE,10,0),"")</f>
        <v/>
      </c>
      <c r="AH12" s="1" t="str">
        <f ca="1">IFERROR(VLOOKUP($AE12,База!$A:$BE,13,0),"")</f>
        <v/>
      </c>
      <c r="AI12" s="1" t="str">
        <f ca="1">IFERROR(VLOOKUP($AE12,База!$A:$BE,16,0),"")</f>
        <v/>
      </c>
      <c r="AJ12" s="1" t="str">
        <f ca="1">IFERROR(VLOOKUP($AE12,База!$A:$BE,17,0),"")</f>
        <v/>
      </c>
      <c r="AK12" s="5">
        <v>77</v>
      </c>
      <c r="AM12" s="1" t="str">
        <f ca="1">IFERROR(VLOOKUP($AK12,База!$A:$BE,10,0),"")</f>
        <v/>
      </c>
      <c r="AN12" s="1" t="str">
        <f ca="1">IFERROR(VLOOKUP($AK12,База!$A:$BE,13,0),"")</f>
        <v/>
      </c>
      <c r="AO12" s="1" t="str">
        <f ca="1">IFERROR(VLOOKUP($AK12,База!$A:$BE,16,0),"")</f>
        <v/>
      </c>
      <c r="AP12" s="1" t="str">
        <f ca="1">IFERROR(VLOOKUP($AK12,База!$A:$BE,17,0),"")</f>
        <v/>
      </c>
      <c r="AQ12" s="5">
        <v>87</v>
      </c>
      <c r="AS12" s="1" t="str">
        <f ca="1">IFERROR(VLOOKUP($AQ12,База!$A:$BE,10,0),"")</f>
        <v/>
      </c>
      <c r="AT12" s="1" t="str">
        <f ca="1">IFERROR(VLOOKUP($AQ12,База!$A:$BE,13,0),"")</f>
        <v/>
      </c>
      <c r="AU12" s="1" t="str">
        <f ca="1">IFERROR(VLOOKUP($AQ12,База!$A:$BE,16,0),"")</f>
        <v/>
      </c>
      <c r="AV12" s="1" t="str">
        <f ca="1">IFERROR(VLOOKUP($AQ12,База!$A:$BE,17,0),"")</f>
        <v/>
      </c>
    </row>
    <row r="13" spans="1:48" x14ac:dyDescent="0.25">
      <c r="A13" t="s">
        <v>14</v>
      </c>
      <c r="B13" s="1" t="str">
        <f ca="1">IFERROR(VLOOKUP($A13,База!$A:$BE,10,0),"")</f>
        <v/>
      </c>
      <c r="C13" s="1" t="str">
        <f ca="1">IFERROR(VLOOKUP($A13,База!$A:$BE,13,0),"")</f>
        <v/>
      </c>
      <c r="D13" s="1" t="str">
        <f ca="1">IFERROR(VLOOKUP($A13,База!$A:$BE,16,0),"")</f>
        <v/>
      </c>
      <c r="E13" s="1" t="str">
        <f ca="1">IFERROR(VLOOKUP($A13,База!$A:$BE,17,0),"")</f>
        <v/>
      </c>
      <c r="F13">
        <v>28</v>
      </c>
      <c r="I13" s="1" t="str">
        <f ca="1">IFERROR(VLOOKUP($F13,База!$A:$BE,10,0),"")</f>
        <v/>
      </c>
      <c r="J13" s="1" t="str">
        <f ca="1">IFERROR(VLOOKUP($F13,База!$A:$BE,13,0),"")</f>
        <v/>
      </c>
      <c r="K13" s="1" t="str">
        <f ca="1">IFERROR(VLOOKUP($F13,База!$A:$BE,16,0),"")</f>
        <v/>
      </c>
      <c r="L13" s="1" t="str">
        <f ca="1">IFERROR(VLOOKUP($F13,База!$A:$BE,17,0),"")</f>
        <v/>
      </c>
      <c r="M13">
        <v>38</v>
      </c>
      <c r="O13" s="1" t="str">
        <f ca="1">IFERROR(VLOOKUP($M13,База!$A:$BE,10,0),"")</f>
        <v/>
      </c>
      <c r="P13" s="1" t="str">
        <f ca="1">IFERROR(VLOOKUP($M13,База!$A:$BE,13,0),"")</f>
        <v/>
      </c>
      <c r="Q13" s="1" t="str">
        <f ca="1">IFERROR(VLOOKUP($M13,База!$A:$BE,16,0),"")</f>
        <v/>
      </c>
      <c r="R13" s="1" t="str">
        <f ca="1">IFERROR(VLOOKUP($M13,База!$A:$BE,17,0),"")</f>
        <v/>
      </c>
      <c r="S13">
        <v>48</v>
      </c>
      <c r="U13" s="1" t="str">
        <f ca="1">IFERROR(VLOOKUP($S13,База!$A:$BE,10,0),"")</f>
        <v/>
      </c>
      <c r="V13" s="1" t="str">
        <f ca="1">IFERROR(VLOOKUP($S13,База!$A:$BE,13,0),"")</f>
        <v/>
      </c>
      <c r="W13" s="1" t="str">
        <f ca="1">IFERROR(VLOOKUP($S13,База!$A:$BE,16,0),"")</f>
        <v/>
      </c>
      <c r="X13" s="1" t="str">
        <f ca="1">IFERROR(VLOOKUP($S13,База!$A:$BE,17,0),"")</f>
        <v/>
      </c>
      <c r="Y13" s="5">
        <v>58</v>
      </c>
      <c r="AA13" s="1" t="str">
        <f ca="1">IFERROR(VLOOKUP($Y13,База!$A:$BE,10,0),"")</f>
        <v/>
      </c>
      <c r="AB13" s="1" t="str">
        <f ca="1">IFERROR(VLOOKUP($Y13,База!$A:$BE,13,0),"")</f>
        <v/>
      </c>
      <c r="AC13" s="1" t="str">
        <f ca="1">IFERROR(VLOOKUP($Y13,База!$A:$BE,16,0),"")</f>
        <v/>
      </c>
      <c r="AD13" s="1" t="str">
        <f ca="1">IFERROR(VLOOKUP($Y13,База!$A:$BE,17,0),"")</f>
        <v/>
      </c>
      <c r="AE13" s="5">
        <v>68</v>
      </c>
      <c r="AG13" s="1" t="str">
        <f ca="1">IFERROR(VLOOKUP($AE13,База!$A:$BE,10,0),"")</f>
        <v/>
      </c>
      <c r="AH13" s="1" t="str">
        <f ca="1">IFERROR(VLOOKUP($AE13,База!$A:$BE,13,0),"")</f>
        <v/>
      </c>
      <c r="AI13" s="1" t="str">
        <f ca="1">IFERROR(VLOOKUP($AE13,База!$A:$BE,16,0),"")</f>
        <v/>
      </c>
      <c r="AJ13" s="1" t="str">
        <f ca="1">IFERROR(VLOOKUP($AE13,База!$A:$BE,17,0),"")</f>
        <v/>
      </c>
      <c r="AK13" s="5">
        <v>78</v>
      </c>
      <c r="AM13" s="1" t="str">
        <f ca="1">IFERROR(VLOOKUP($AK13,База!$A:$BE,10,0),"")</f>
        <v/>
      </c>
      <c r="AN13" s="1" t="str">
        <f ca="1">IFERROR(VLOOKUP($AK13,База!$A:$BE,13,0),"")</f>
        <v/>
      </c>
      <c r="AO13" s="1" t="str">
        <f ca="1">IFERROR(VLOOKUP($AK13,База!$A:$BE,16,0),"")</f>
        <v/>
      </c>
      <c r="AP13" s="1" t="str">
        <f ca="1">IFERROR(VLOOKUP($AK13,База!$A:$BE,17,0),"")</f>
        <v/>
      </c>
      <c r="AQ13" s="5">
        <v>88</v>
      </c>
      <c r="AS13" s="1" t="str">
        <f ca="1">IFERROR(VLOOKUP($AQ13,База!$A:$BE,10,0),"")</f>
        <v/>
      </c>
      <c r="AT13" s="1" t="str">
        <f ca="1">IFERROR(VLOOKUP($AQ13,База!$A:$BE,13,0),"")</f>
        <v/>
      </c>
      <c r="AU13" s="1" t="str">
        <f ca="1">IFERROR(VLOOKUP($AQ13,База!$A:$BE,16,0),"")</f>
        <v/>
      </c>
      <c r="AV13" s="1" t="str">
        <f ca="1">IFERROR(VLOOKUP($AQ13,База!$A:$BE,17,0),"")</f>
        <v/>
      </c>
    </row>
    <row r="14" spans="1:48" x14ac:dyDescent="0.25">
      <c r="A14" t="s">
        <v>15</v>
      </c>
      <c r="B14" s="1" t="str">
        <f ca="1">IFERROR(VLOOKUP($A14,База!$A:$BE,10,0),"")</f>
        <v/>
      </c>
      <c r="C14" s="1" t="str">
        <f ca="1">IFERROR(VLOOKUP($A14,База!$A:$BE,13,0),"")</f>
        <v/>
      </c>
      <c r="D14" s="1" t="str">
        <f ca="1">IFERROR(VLOOKUP($A14,База!$A:$BE,16,0),"")</f>
        <v/>
      </c>
      <c r="E14" s="1" t="str">
        <f ca="1">IFERROR(VLOOKUP($A14,База!$A:$BE,17,0),"")</f>
        <v/>
      </c>
      <c r="F14">
        <v>29</v>
      </c>
      <c r="I14" s="1" t="str">
        <f ca="1">IFERROR(VLOOKUP($F14,База!$A:$BE,10,0),"")</f>
        <v/>
      </c>
      <c r="J14" s="1" t="str">
        <f ca="1">IFERROR(VLOOKUP($F14,База!$A:$BE,13,0),"")</f>
        <v/>
      </c>
      <c r="K14" s="1" t="str">
        <f ca="1">IFERROR(VLOOKUP($F14,База!$A:$BE,16,0),"")</f>
        <v/>
      </c>
      <c r="L14" s="1" t="str">
        <f ca="1">IFERROR(VLOOKUP($F14,База!$A:$BE,17,0),"")</f>
        <v/>
      </c>
      <c r="M14">
        <v>39</v>
      </c>
      <c r="O14" s="1" t="str">
        <f ca="1">IFERROR(VLOOKUP($M14,База!$A:$BE,10,0),"")</f>
        <v/>
      </c>
      <c r="P14" s="1" t="str">
        <f ca="1">IFERROR(VLOOKUP($M14,База!$A:$BE,13,0),"")</f>
        <v/>
      </c>
      <c r="Q14" s="1" t="str">
        <f ca="1">IFERROR(VLOOKUP($M14,База!$A:$BE,16,0),"")</f>
        <v/>
      </c>
      <c r="R14" s="1" t="str">
        <f ca="1">IFERROR(VLOOKUP($M14,База!$A:$BE,17,0),"")</f>
        <v/>
      </c>
      <c r="S14">
        <v>49</v>
      </c>
      <c r="U14" s="1" t="str">
        <f ca="1">IFERROR(VLOOKUP($S14,База!$A:$BE,10,0),"")</f>
        <v/>
      </c>
      <c r="V14" s="1" t="str">
        <f ca="1">IFERROR(VLOOKUP($S14,База!$A:$BE,13,0),"")</f>
        <v/>
      </c>
      <c r="W14" s="1" t="str">
        <f ca="1">IFERROR(VLOOKUP($S14,База!$A:$BE,16,0),"")</f>
        <v/>
      </c>
      <c r="X14" s="1" t="str">
        <f ca="1">IFERROR(VLOOKUP($S14,База!$A:$BE,17,0),"")</f>
        <v/>
      </c>
      <c r="Y14" s="5">
        <v>59</v>
      </c>
      <c r="AA14" s="1" t="str">
        <f ca="1">IFERROR(VLOOKUP($Y14,База!$A:$BE,10,0),"")</f>
        <v/>
      </c>
      <c r="AB14" s="1" t="str">
        <f ca="1">IFERROR(VLOOKUP($Y14,База!$A:$BE,13,0),"")</f>
        <v/>
      </c>
      <c r="AC14" s="1" t="str">
        <f ca="1">IFERROR(VLOOKUP($Y14,База!$A:$BE,16,0),"")</f>
        <v/>
      </c>
      <c r="AD14" s="1" t="str">
        <f ca="1">IFERROR(VLOOKUP($Y14,База!$A:$BE,17,0),"")</f>
        <v/>
      </c>
      <c r="AE14" s="5">
        <v>69</v>
      </c>
      <c r="AG14" s="1" t="str">
        <f ca="1">IFERROR(VLOOKUP($AE14,База!$A:$BE,10,0),"")</f>
        <v/>
      </c>
      <c r="AH14" s="1" t="str">
        <f ca="1">IFERROR(VLOOKUP($AE14,База!$A:$BE,13,0),"")</f>
        <v/>
      </c>
      <c r="AI14" s="1" t="str">
        <f ca="1">IFERROR(VLOOKUP($AE14,База!$A:$BE,16,0),"")</f>
        <v/>
      </c>
      <c r="AJ14" s="1" t="str">
        <f ca="1">IFERROR(VLOOKUP($AE14,База!$A:$BE,17,0),"")</f>
        <v/>
      </c>
      <c r="AK14" s="5">
        <v>79</v>
      </c>
      <c r="AM14" s="1" t="str">
        <f ca="1">IFERROR(VLOOKUP($AK14,База!$A:$BE,10,0),"")</f>
        <v/>
      </c>
      <c r="AN14" s="1" t="str">
        <f ca="1">IFERROR(VLOOKUP($AK14,База!$A:$BE,13,0),"")</f>
        <v/>
      </c>
      <c r="AO14" s="1" t="str">
        <f ca="1">IFERROR(VLOOKUP($AK14,База!$A:$BE,16,0),"")</f>
        <v/>
      </c>
      <c r="AP14" s="1" t="str">
        <f ca="1">IFERROR(VLOOKUP($AK14,База!$A:$BE,17,0),"")</f>
        <v/>
      </c>
      <c r="AQ14" s="5">
        <v>89</v>
      </c>
      <c r="AS14" s="1" t="str">
        <f ca="1">IFERROR(VLOOKUP($AQ14,База!$A:$BE,10,0),"")</f>
        <v/>
      </c>
      <c r="AT14" s="1" t="str">
        <f ca="1">IFERROR(VLOOKUP($AQ14,База!$A:$BE,13,0),"")</f>
        <v/>
      </c>
      <c r="AU14" s="1" t="str">
        <f ca="1">IFERROR(VLOOKUP($AQ14,База!$A:$BE,16,0),"")</f>
        <v/>
      </c>
      <c r="AV14" s="1" t="str">
        <f ca="1">IFERROR(VLOOKUP($AQ14,База!$A:$BE,17,0),"")</f>
        <v/>
      </c>
    </row>
    <row r="15" spans="1:48" x14ac:dyDescent="0.25">
      <c r="A15" t="s">
        <v>16</v>
      </c>
      <c r="B15" s="1" t="str">
        <f ca="1">IFERROR(VLOOKUP($A15,База!$A:$BE,10,0),"")</f>
        <v/>
      </c>
      <c r="C15" s="1" t="str">
        <f ca="1">IFERROR(VLOOKUP($A15,База!$A:$BE,13,0),"")</f>
        <v/>
      </c>
      <c r="D15" s="1" t="str">
        <f ca="1">IFERROR(VLOOKUP($A15,База!$A:$BE,16,0),"")</f>
        <v/>
      </c>
      <c r="E15" s="1" t="str">
        <f ca="1">IFERROR(VLOOKUP($A15,База!$A:$BE,17,0),"")</f>
        <v/>
      </c>
      <c r="F15">
        <v>210</v>
      </c>
      <c r="I15" s="1" t="str">
        <f ca="1">IFERROR(VLOOKUP($F15,База!$A:$BE,10,0),"")</f>
        <v/>
      </c>
      <c r="J15" s="1" t="str">
        <f ca="1">IFERROR(VLOOKUP($F15,База!$A:$BE,13,0),"")</f>
        <v/>
      </c>
      <c r="K15" s="1" t="str">
        <f ca="1">IFERROR(VLOOKUP($F15,База!$A:$BE,16,0),"")</f>
        <v/>
      </c>
      <c r="L15" s="1" t="str">
        <f ca="1">IFERROR(VLOOKUP($F15,База!$A:$BE,17,0),"")</f>
        <v/>
      </c>
      <c r="M15">
        <v>310</v>
      </c>
      <c r="O15" s="1" t="str">
        <f ca="1">IFERROR(VLOOKUP($M15,База!$A:$BE,10,0),"")</f>
        <v/>
      </c>
      <c r="P15" s="1" t="str">
        <f ca="1">IFERROR(VLOOKUP($M15,База!$A:$BE,13,0),"")</f>
        <v/>
      </c>
      <c r="Q15" s="1" t="str">
        <f ca="1">IFERROR(VLOOKUP($M15,База!$A:$BE,16,0),"")</f>
        <v/>
      </c>
      <c r="R15" s="1" t="str">
        <f ca="1">IFERROR(VLOOKUP($M15,База!$A:$BE,17,0),"")</f>
        <v/>
      </c>
      <c r="S15">
        <v>410</v>
      </c>
      <c r="U15" s="1" t="str">
        <f ca="1">IFERROR(VLOOKUP($S15,База!$A:$BE,10,0),"")</f>
        <v/>
      </c>
      <c r="V15" s="1" t="str">
        <f ca="1">IFERROR(VLOOKUP($S15,База!$A:$BE,13,0),"")</f>
        <v/>
      </c>
      <c r="W15" s="1" t="str">
        <f ca="1">IFERROR(VLOOKUP($S15,База!$A:$BE,16,0),"")</f>
        <v/>
      </c>
      <c r="X15" s="1" t="str">
        <f ca="1">IFERROR(VLOOKUP($S15,База!$A:$BE,17,0),"")</f>
        <v/>
      </c>
      <c r="Y15" s="5">
        <v>510</v>
      </c>
      <c r="AA15" s="1" t="str">
        <f ca="1">IFERROR(VLOOKUP($Y15,База!$A:$BE,10,0),"")</f>
        <v/>
      </c>
      <c r="AB15" s="1" t="str">
        <f ca="1">IFERROR(VLOOKUP($Y15,База!$A:$BE,13,0),"")</f>
        <v/>
      </c>
      <c r="AC15" s="1" t="str">
        <f ca="1">IFERROR(VLOOKUP($Y15,База!$A:$BE,16,0),"")</f>
        <v/>
      </c>
      <c r="AD15" s="1" t="str">
        <f ca="1">IFERROR(VLOOKUP($Y15,База!$A:$BE,17,0),"")</f>
        <v/>
      </c>
      <c r="AE15" s="5">
        <v>610</v>
      </c>
      <c r="AG15" s="1" t="str">
        <f ca="1">IFERROR(VLOOKUP($AE15,База!$A:$BE,10,0),"")</f>
        <v/>
      </c>
      <c r="AH15" s="1" t="str">
        <f ca="1">IFERROR(VLOOKUP($AE15,База!$A:$BE,13,0),"")</f>
        <v/>
      </c>
      <c r="AI15" s="1" t="str">
        <f ca="1">IFERROR(VLOOKUP($AE15,База!$A:$BE,16,0),"")</f>
        <v/>
      </c>
      <c r="AJ15" s="1" t="str">
        <f ca="1">IFERROR(VLOOKUP($AE15,База!$A:$BE,17,0),"")</f>
        <v/>
      </c>
      <c r="AK15" s="5">
        <v>710</v>
      </c>
      <c r="AM15" s="1" t="str">
        <f ca="1">IFERROR(VLOOKUP($AK15,База!$A:$BE,10,0),"")</f>
        <v/>
      </c>
      <c r="AN15" s="1" t="str">
        <f ca="1">IFERROR(VLOOKUP($AK15,База!$A:$BE,13,0),"")</f>
        <v/>
      </c>
      <c r="AO15" s="1" t="str">
        <f ca="1">IFERROR(VLOOKUP($AK15,База!$A:$BE,16,0),"")</f>
        <v/>
      </c>
      <c r="AP15" s="1" t="str">
        <f ca="1">IFERROR(VLOOKUP($AK15,База!$A:$BE,17,0),"")</f>
        <v/>
      </c>
      <c r="AQ15" s="5">
        <v>810</v>
      </c>
      <c r="AS15" s="1" t="str">
        <f ca="1">IFERROR(VLOOKUP($AQ15,База!$A:$BE,10,0),"")</f>
        <v/>
      </c>
      <c r="AT15" s="1" t="str">
        <f ca="1">IFERROR(VLOOKUP($AQ15,База!$A:$BE,13,0),"")</f>
        <v/>
      </c>
      <c r="AU15" s="1" t="str">
        <f ca="1">IFERROR(VLOOKUP($AQ15,База!$A:$BE,16,0),"")</f>
        <v/>
      </c>
      <c r="AV15" s="1" t="str">
        <f ca="1">IFERROR(VLOOKUP($AQ15,База!$A:$BE,17,0),"")</f>
        <v/>
      </c>
    </row>
    <row r="16" spans="1:48" x14ac:dyDescent="0.25">
      <c r="A16" t="s">
        <v>17</v>
      </c>
      <c r="B16" s="1" t="str">
        <f ca="1">IFERROR(VLOOKUP($A16,База!$A:$BE,10,0),"")</f>
        <v/>
      </c>
      <c r="C16" s="1" t="str">
        <f ca="1">IFERROR(VLOOKUP($A16,База!$A:$BE,13,0),"")</f>
        <v/>
      </c>
      <c r="D16" s="1" t="str">
        <f ca="1">IFERROR(VLOOKUP($A16,База!$A:$BE,16,0),"")</f>
        <v/>
      </c>
      <c r="E16" s="1" t="str">
        <f ca="1">IFERROR(VLOOKUP($A16,База!$A:$BE,17,0),"")</f>
        <v/>
      </c>
      <c r="F16">
        <v>211</v>
      </c>
      <c r="I16" s="1" t="str">
        <f ca="1">IFERROR(VLOOKUP($F16,База!$A:$BE,10,0),"")</f>
        <v/>
      </c>
      <c r="J16" s="1" t="str">
        <f ca="1">IFERROR(VLOOKUP($F16,База!$A:$BE,13,0),"")</f>
        <v/>
      </c>
      <c r="K16" s="1" t="str">
        <f ca="1">IFERROR(VLOOKUP($F16,База!$A:$BE,16,0),"")</f>
        <v/>
      </c>
      <c r="L16" s="1" t="str">
        <f ca="1">IFERROR(VLOOKUP($F16,База!$A:$BE,17,0),"")</f>
        <v/>
      </c>
      <c r="M16">
        <v>311</v>
      </c>
      <c r="O16" s="1" t="str">
        <f ca="1">IFERROR(VLOOKUP($M16,База!$A:$BE,10,0),"")</f>
        <v/>
      </c>
      <c r="P16" s="1" t="str">
        <f ca="1">IFERROR(VLOOKUP($M16,База!$A:$BE,13,0),"")</f>
        <v/>
      </c>
      <c r="Q16" s="1" t="str">
        <f ca="1">IFERROR(VLOOKUP($M16,База!$A:$BE,16,0),"")</f>
        <v/>
      </c>
      <c r="R16" s="1" t="str">
        <f ca="1">IFERROR(VLOOKUP($M16,База!$A:$BE,17,0),"")</f>
        <v/>
      </c>
      <c r="S16">
        <v>411</v>
      </c>
      <c r="U16" s="1" t="str">
        <f ca="1">IFERROR(VLOOKUP($S16,База!$A:$BE,10,0),"")</f>
        <v/>
      </c>
      <c r="V16" s="1" t="str">
        <f ca="1">IFERROR(VLOOKUP($S16,База!$A:$BE,13,0),"")</f>
        <v/>
      </c>
      <c r="W16" s="1" t="str">
        <f ca="1">IFERROR(VLOOKUP($S16,База!$A:$BE,16,0),"")</f>
        <v/>
      </c>
      <c r="X16" s="1" t="str">
        <f ca="1">IFERROR(VLOOKUP($S16,База!$A:$BE,17,0),"")</f>
        <v/>
      </c>
      <c r="Y16" s="5">
        <v>511</v>
      </c>
      <c r="AA16" s="1" t="str">
        <f ca="1">IFERROR(VLOOKUP($Y16,База!$A:$BE,10,0),"")</f>
        <v/>
      </c>
      <c r="AB16" s="1" t="str">
        <f ca="1">IFERROR(VLOOKUP($Y16,База!$A:$BE,13,0),"")</f>
        <v/>
      </c>
      <c r="AC16" s="1" t="str">
        <f ca="1">IFERROR(VLOOKUP($Y16,База!$A:$BE,16,0),"")</f>
        <v/>
      </c>
      <c r="AD16" s="1" t="str">
        <f ca="1">IFERROR(VLOOKUP($Y16,База!$A:$BE,17,0),"")</f>
        <v/>
      </c>
      <c r="AE16" s="5">
        <v>611</v>
      </c>
      <c r="AG16" s="1" t="str">
        <f ca="1">IFERROR(VLOOKUP($AE16,База!$A:$BE,10,0),"")</f>
        <v/>
      </c>
      <c r="AH16" s="1" t="str">
        <f ca="1">IFERROR(VLOOKUP($AE16,База!$A:$BE,13,0),"")</f>
        <v/>
      </c>
      <c r="AI16" s="1" t="str">
        <f ca="1">IFERROR(VLOOKUP($AE16,База!$A:$BE,16,0),"")</f>
        <v/>
      </c>
      <c r="AJ16" s="1" t="str">
        <f ca="1">IFERROR(VLOOKUP($AE16,База!$A:$BE,17,0),"")</f>
        <v/>
      </c>
      <c r="AK16" s="5">
        <v>711</v>
      </c>
      <c r="AM16" s="1" t="str">
        <f ca="1">IFERROR(VLOOKUP($AK16,База!$A:$BE,10,0),"")</f>
        <v/>
      </c>
      <c r="AN16" s="1" t="str">
        <f ca="1">IFERROR(VLOOKUP($AK16,База!$A:$BE,13,0),"")</f>
        <v/>
      </c>
      <c r="AO16" s="1" t="str">
        <f ca="1">IFERROR(VLOOKUP($AK16,База!$A:$BE,16,0),"")</f>
        <v/>
      </c>
      <c r="AP16" s="1" t="str">
        <f ca="1">IFERROR(VLOOKUP($AK16,База!$A:$BE,17,0),"")</f>
        <v/>
      </c>
      <c r="AQ16" s="5">
        <v>811</v>
      </c>
      <c r="AS16" s="1" t="str">
        <f ca="1">IFERROR(VLOOKUP($AQ16,База!$A:$BE,10,0),"")</f>
        <v/>
      </c>
      <c r="AT16" s="1" t="str">
        <f ca="1">IFERROR(VLOOKUP($AQ16,База!$A:$BE,13,0),"")</f>
        <v/>
      </c>
      <c r="AU16" s="1" t="str">
        <f ca="1">IFERROR(VLOOKUP($AQ16,База!$A:$BE,16,0),"")</f>
        <v/>
      </c>
      <c r="AV16" s="1" t="str">
        <f ca="1">IFERROR(VLOOKUP($AQ16,База!$A:$BE,17,0),"")</f>
        <v/>
      </c>
    </row>
    <row r="17" spans="1:48" x14ac:dyDescent="0.25">
      <c r="A17" t="s">
        <v>18</v>
      </c>
      <c r="B17" s="1" t="str">
        <f ca="1">IFERROR(VLOOKUP($A17,База!$A:$BE,10,0),"")</f>
        <v/>
      </c>
      <c r="C17" s="1" t="str">
        <f ca="1">IFERROR(VLOOKUP($A17,База!$A:$BE,13,0),"")</f>
        <v/>
      </c>
      <c r="D17" s="1" t="str">
        <f ca="1">IFERROR(VLOOKUP($A17,База!$A:$BE,16,0),"")</f>
        <v/>
      </c>
      <c r="E17" s="1" t="str">
        <f ca="1">IFERROR(VLOOKUP($A17,База!$A:$BE,17,0),"")</f>
        <v/>
      </c>
      <c r="F17">
        <v>212</v>
      </c>
      <c r="I17" s="1" t="str">
        <f ca="1">IFERROR(VLOOKUP($F17,База!$A:$BE,10,0),"")</f>
        <v/>
      </c>
      <c r="J17" s="1" t="str">
        <f ca="1">IFERROR(VLOOKUP($F17,База!$A:$BE,13,0),"")</f>
        <v/>
      </c>
      <c r="K17" s="1" t="str">
        <f ca="1">IFERROR(VLOOKUP($F17,База!$A:$BE,16,0),"")</f>
        <v/>
      </c>
      <c r="L17" s="1" t="str">
        <f ca="1">IFERROR(VLOOKUP($F17,База!$A:$BE,17,0),"")</f>
        <v/>
      </c>
      <c r="M17">
        <v>312</v>
      </c>
      <c r="O17" s="1" t="str">
        <f ca="1">IFERROR(VLOOKUP($M17,База!$A:$BE,10,0),"")</f>
        <v/>
      </c>
      <c r="P17" s="1" t="str">
        <f ca="1">IFERROR(VLOOKUP($M17,База!$A:$BE,13,0),"")</f>
        <v/>
      </c>
      <c r="Q17" s="1" t="str">
        <f ca="1">IFERROR(VLOOKUP($M17,База!$A:$BE,16,0),"")</f>
        <v/>
      </c>
      <c r="R17" s="1" t="str">
        <f ca="1">IFERROR(VLOOKUP($M17,База!$A:$BE,17,0),"")</f>
        <v/>
      </c>
      <c r="S17">
        <v>412</v>
      </c>
      <c r="U17" s="1" t="str">
        <f ca="1">IFERROR(VLOOKUP($S17,База!$A:$BE,10,0),"")</f>
        <v/>
      </c>
      <c r="V17" s="1" t="str">
        <f ca="1">IFERROR(VLOOKUP($S17,База!$A:$BE,13,0),"")</f>
        <v/>
      </c>
      <c r="W17" s="1" t="str">
        <f ca="1">IFERROR(VLOOKUP($S17,База!$A:$BE,16,0),"")</f>
        <v/>
      </c>
      <c r="X17" s="1" t="str">
        <f ca="1">IFERROR(VLOOKUP($S17,База!$A:$BE,17,0),"")</f>
        <v/>
      </c>
      <c r="Y17" s="5">
        <v>512</v>
      </c>
      <c r="AA17" s="1" t="str">
        <f ca="1">IFERROR(VLOOKUP($Y17,База!$A:$BE,10,0),"")</f>
        <v/>
      </c>
      <c r="AB17" s="1" t="str">
        <f ca="1">IFERROR(VLOOKUP($Y17,База!$A:$BE,13,0),"")</f>
        <v/>
      </c>
      <c r="AC17" s="1" t="str">
        <f ca="1">IFERROR(VLOOKUP($Y17,База!$A:$BE,16,0),"")</f>
        <v/>
      </c>
      <c r="AD17" s="1" t="str">
        <f ca="1">IFERROR(VLOOKUP($Y17,База!$A:$BE,17,0),"")</f>
        <v/>
      </c>
      <c r="AE17" s="5">
        <v>612</v>
      </c>
      <c r="AG17" s="1" t="str">
        <f ca="1">IFERROR(VLOOKUP($AE17,База!$A:$BE,10,0),"")</f>
        <v/>
      </c>
      <c r="AH17" s="1" t="str">
        <f ca="1">IFERROR(VLOOKUP($AE17,База!$A:$BE,13,0),"")</f>
        <v/>
      </c>
      <c r="AI17" s="1" t="str">
        <f ca="1">IFERROR(VLOOKUP($AE17,База!$A:$BE,16,0),"")</f>
        <v/>
      </c>
      <c r="AJ17" s="1" t="str">
        <f ca="1">IFERROR(VLOOKUP($AE17,База!$A:$BE,17,0),"")</f>
        <v/>
      </c>
      <c r="AK17" s="5">
        <v>712</v>
      </c>
      <c r="AM17" s="1" t="str">
        <f ca="1">IFERROR(VLOOKUP($AK17,База!$A:$BE,10,0),"")</f>
        <v/>
      </c>
      <c r="AN17" s="1" t="str">
        <f ca="1">IFERROR(VLOOKUP($AK17,База!$A:$BE,13,0),"")</f>
        <v/>
      </c>
      <c r="AO17" s="1" t="str">
        <f ca="1">IFERROR(VLOOKUP($AK17,База!$A:$BE,16,0),"")</f>
        <v/>
      </c>
      <c r="AP17" s="1" t="str">
        <f ca="1">IFERROR(VLOOKUP($AK17,База!$A:$BE,17,0),"")</f>
        <v/>
      </c>
      <c r="AQ17" s="5">
        <v>812</v>
      </c>
      <c r="AS17" s="1" t="str">
        <f ca="1">IFERROR(VLOOKUP($AQ17,База!$A:$BE,10,0),"")</f>
        <v/>
      </c>
      <c r="AT17" s="1" t="str">
        <f ca="1">IFERROR(VLOOKUP($AQ17,База!$A:$BE,13,0),"")</f>
        <v/>
      </c>
      <c r="AU17" s="1" t="str">
        <f ca="1">IFERROR(VLOOKUP($AQ17,База!$A:$BE,16,0),"")</f>
        <v/>
      </c>
      <c r="AV17" s="1" t="str">
        <f ca="1">IFERROR(VLOOKUP($AQ17,База!$A:$BE,17,0),"")</f>
        <v/>
      </c>
    </row>
    <row r="18" spans="1:48" x14ac:dyDescent="0.25">
      <c r="A18" t="s">
        <v>19</v>
      </c>
      <c r="B18" s="1" t="str">
        <f ca="1">IFERROR(VLOOKUP($A18,База!$A:$BE,10,0),"")</f>
        <v/>
      </c>
      <c r="C18" s="1" t="str">
        <f ca="1">IFERROR(VLOOKUP($A18,База!$A:$BE,13,0),"")</f>
        <v/>
      </c>
      <c r="D18" s="1" t="str">
        <f ca="1">IFERROR(VLOOKUP($A18,База!$A:$BE,16,0),"")</f>
        <v/>
      </c>
      <c r="E18" s="1" t="str">
        <f ca="1">IFERROR(VLOOKUP($A18,База!$A:$BE,17,0),"")</f>
        <v/>
      </c>
      <c r="F18">
        <v>213</v>
      </c>
      <c r="I18" s="1" t="str">
        <f ca="1">IFERROR(VLOOKUP($F18,База!$A:$BE,10,0),"")</f>
        <v/>
      </c>
      <c r="J18" s="1" t="str">
        <f ca="1">IFERROR(VLOOKUP($F18,База!$A:$BE,13,0),"")</f>
        <v/>
      </c>
      <c r="K18" s="1" t="str">
        <f ca="1">IFERROR(VLOOKUP($F18,База!$A:$BE,16,0),"")</f>
        <v/>
      </c>
      <c r="L18" s="1" t="str">
        <f ca="1">IFERROR(VLOOKUP($F18,База!$A:$BE,17,0),"")</f>
        <v/>
      </c>
      <c r="M18">
        <v>313</v>
      </c>
      <c r="O18" s="1" t="str">
        <f ca="1">IFERROR(VLOOKUP($M18,База!$A:$BE,10,0),"")</f>
        <v/>
      </c>
      <c r="P18" s="1" t="str">
        <f ca="1">IFERROR(VLOOKUP($M18,База!$A:$BE,13,0),"")</f>
        <v/>
      </c>
      <c r="Q18" s="1" t="str">
        <f ca="1">IFERROR(VLOOKUP($M18,База!$A:$BE,16,0),"")</f>
        <v/>
      </c>
      <c r="R18" s="1" t="str">
        <f ca="1">IFERROR(VLOOKUP($M18,База!$A:$BE,17,0),"")</f>
        <v/>
      </c>
      <c r="S18">
        <v>413</v>
      </c>
      <c r="U18" s="1" t="str">
        <f ca="1">IFERROR(VLOOKUP($S18,База!$A:$BE,10,0),"")</f>
        <v/>
      </c>
      <c r="V18" s="1" t="str">
        <f ca="1">IFERROR(VLOOKUP($S18,База!$A:$BE,13,0),"")</f>
        <v/>
      </c>
      <c r="W18" s="1" t="str">
        <f ca="1">IFERROR(VLOOKUP($S18,База!$A:$BE,16,0),"")</f>
        <v/>
      </c>
      <c r="X18" s="1" t="str">
        <f ca="1">IFERROR(VLOOKUP($S18,База!$A:$BE,17,0),"")</f>
        <v/>
      </c>
      <c r="Y18" s="5">
        <v>513</v>
      </c>
      <c r="AA18" s="1" t="str">
        <f ca="1">IFERROR(VLOOKUP($Y18,База!$A:$BE,10,0),"")</f>
        <v/>
      </c>
      <c r="AB18" s="1" t="str">
        <f ca="1">IFERROR(VLOOKUP($Y18,База!$A:$BE,13,0),"")</f>
        <v/>
      </c>
      <c r="AC18" s="1" t="str">
        <f ca="1">IFERROR(VLOOKUP($Y18,База!$A:$BE,16,0),"")</f>
        <v/>
      </c>
      <c r="AD18" s="1" t="str">
        <f ca="1">IFERROR(VLOOKUP($Y18,База!$A:$BE,17,0),"")</f>
        <v/>
      </c>
      <c r="AE18" s="5">
        <v>613</v>
      </c>
      <c r="AG18" s="1" t="str">
        <f ca="1">IFERROR(VLOOKUP($AE18,База!$A:$BE,10,0),"")</f>
        <v/>
      </c>
      <c r="AH18" s="1" t="str">
        <f ca="1">IFERROR(VLOOKUP($AE18,База!$A:$BE,13,0),"")</f>
        <v/>
      </c>
      <c r="AI18" s="1" t="str">
        <f ca="1">IFERROR(VLOOKUP($AE18,База!$A:$BE,16,0),"")</f>
        <v/>
      </c>
      <c r="AJ18" s="1" t="str">
        <f ca="1">IFERROR(VLOOKUP($AE18,База!$A:$BE,17,0),"")</f>
        <v/>
      </c>
      <c r="AK18" s="5">
        <v>713</v>
      </c>
      <c r="AM18" s="1" t="str">
        <f ca="1">IFERROR(VLOOKUP($AK18,База!$A:$BE,10,0),"")</f>
        <v/>
      </c>
      <c r="AN18" s="1" t="str">
        <f ca="1">IFERROR(VLOOKUP($AK18,База!$A:$BE,13,0),"")</f>
        <v/>
      </c>
      <c r="AO18" s="1" t="str">
        <f ca="1">IFERROR(VLOOKUP($AK18,База!$A:$BE,16,0),"")</f>
        <v/>
      </c>
      <c r="AP18" s="1" t="str">
        <f ca="1">IFERROR(VLOOKUP($AK18,База!$A:$BE,17,0),"")</f>
        <v/>
      </c>
      <c r="AQ18" s="5">
        <v>813</v>
      </c>
      <c r="AS18" s="1" t="str">
        <f ca="1">IFERROR(VLOOKUP($AQ18,База!$A:$BE,10,0),"")</f>
        <v/>
      </c>
      <c r="AT18" s="1" t="str">
        <f ca="1">IFERROR(VLOOKUP($AQ18,База!$A:$BE,13,0),"")</f>
        <v/>
      </c>
      <c r="AU18" s="1" t="str">
        <f ca="1">IFERROR(VLOOKUP($AQ18,База!$A:$BE,16,0),"")</f>
        <v/>
      </c>
      <c r="AV18" s="1" t="str">
        <f ca="1">IFERROR(VLOOKUP($AQ18,База!$A:$BE,17,0),"")</f>
        <v/>
      </c>
    </row>
    <row r="19" spans="1:48" x14ac:dyDescent="0.25">
      <c r="A19" t="s">
        <v>20</v>
      </c>
      <c r="B19" s="1" t="str">
        <f ca="1">IFERROR(VLOOKUP($A19,База!$A:$BE,10,0),"")</f>
        <v/>
      </c>
      <c r="C19" s="1" t="str">
        <f ca="1">IFERROR(VLOOKUP($A19,База!$A:$BE,13,0),"")</f>
        <v/>
      </c>
      <c r="D19" s="1" t="str">
        <f ca="1">IFERROR(VLOOKUP($A19,База!$A:$BE,16,0),"")</f>
        <v/>
      </c>
      <c r="E19" s="1" t="str">
        <f ca="1">IFERROR(VLOOKUP($A19,База!$A:$BE,17,0),"")</f>
        <v/>
      </c>
      <c r="F19">
        <v>214</v>
      </c>
      <c r="I19" s="1" t="str">
        <f ca="1">IFERROR(VLOOKUP($F19,База!$A:$BE,10,0),"")</f>
        <v/>
      </c>
      <c r="J19" s="1" t="str">
        <f ca="1">IFERROR(VLOOKUP($F19,База!$A:$BE,13,0),"")</f>
        <v/>
      </c>
      <c r="K19" s="1" t="str">
        <f ca="1">IFERROR(VLOOKUP($F19,База!$A:$BE,16,0),"")</f>
        <v/>
      </c>
      <c r="L19" s="1" t="str">
        <f ca="1">IFERROR(VLOOKUP($F19,База!$A:$BE,17,0),"")</f>
        <v/>
      </c>
      <c r="M19">
        <v>314</v>
      </c>
      <c r="O19" s="1" t="str">
        <f ca="1">IFERROR(VLOOKUP($M19,База!$A:$BE,10,0),"")</f>
        <v/>
      </c>
      <c r="P19" s="1" t="str">
        <f ca="1">IFERROR(VLOOKUP($M19,База!$A:$BE,13,0),"")</f>
        <v/>
      </c>
      <c r="Q19" s="1" t="str">
        <f ca="1">IFERROR(VLOOKUP($M19,База!$A:$BE,16,0),"")</f>
        <v/>
      </c>
      <c r="R19" s="1" t="str">
        <f ca="1">IFERROR(VLOOKUP($M19,База!$A:$BE,17,0),"")</f>
        <v/>
      </c>
      <c r="S19">
        <v>414</v>
      </c>
      <c r="U19" s="1" t="str">
        <f ca="1">IFERROR(VLOOKUP($S19,База!$A:$BE,10,0),"")</f>
        <v/>
      </c>
      <c r="V19" s="1" t="str">
        <f ca="1">IFERROR(VLOOKUP($S19,База!$A:$BE,13,0),"")</f>
        <v/>
      </c>
      <c r="W19" s="1" t="str">
        <f ca="1">IFERROR(VLOOKUP($S19,База!$A:$BE,16,0),"")</f>
        <v/>
      </c>
      <c r="X19" s="1" t="str">
        <f ca="1">IFERROR(VLOOKUP($S19,База!$A:$BE,17,0),"")</f>
        <v/>
      </c>
      <c r="Y19" s="5">
        <v>514</v>
      </c>
      <c r="AA19" s="1" t="str">
        <f ca="1">IFERROR(VLOOKUP($Y19,База!$A:$BE,10,0),"")</f>
        <v/>
      </c>
      <c r="AB19" s="1" t="str">
        <f ca="1">IFERROR(VLOOKUP($Y19,База!$A:$BE,13,0),"")</f>
        <v/>
      </c>
      <c r="AC19" s="1" t="str">
        <f ca="1">IFERROR(VLOOKUP($Y19,База!$A:$BE,16,0),"")</f>
        <v/>
      </c>
      <c r="AD19" s="1" t="str">
        <f ca="1">IFERROR(VLOOKUP($Y19,База!$A:$BE,17,0),"")</f>
        <v/>
      </c>
      <c r="AE19" s="5">
        <v>614</v>
      </c>
      <c r="AG19" s="1" t="str">
        <f ca="1">IFERROR(VLOOKUP($AE19,База!$A:$BE,10,0),"")</f>
        <v/>
      </c>
      <c r="AH19" s="1" t="str">
        <f ca="1">IFERROR(VLOOKUP($AE19,База!$A:$BE,13,0),"")</f>
        <v/>
      </c>
      <c r="AI19" s="1" t="str">
        <f ca="1">IFERROR(VLOOKUP($AE19,База!$A:$BE,16,0),"")</f>
        <v/>
      </c>
      <c r="AJ19" s="1" t="str">
        <f ca="1">IFERROR(VLOOKUP($AE19,База!$A:$BE,17,0),"")</f>
        <v/>
      </c>
      <c r="AK19" s="5">
        <v>714</v>
      </c>
      <c r="AM19" s="1" t="str">
        <f ca="1">IFERROR(VLOOKUP($AK19,База!$A:$BE,10,0),"")</f>
        <v/>
      </c>
      <c r="AN19" s="1" t="str">
        <f ca="1">IFERROR(VLOOKUP($AK19,База!$A:$BE,13,0),"")</f>
        <v/>
      </c>
      <c r="AO19" s="1" t="str">
        <f ca="1">IFERROR(VLOOKUP($AK19,База!$A:$BE,16,0),"")</f>
        <v/>
      </c>
      <c r="AP19" s="1" t="str">
        <f ca="1">IFERROR(VLOOKUP($AK19,База!$A:$BE,17,0),"")</f>
        <v/>
      </c>
      <c r="AQ19" s="5">
        <v>814</v>
      </c>
      <c r="AS19" s="1" t="str">
        <f ca="1">IFERROR(VLOOKUP($AQ19,База!$A:$BE,10,0),"")</f>
        <v/>
      </c>
      <c r="AT19" s="1" t="str">
        <f ca="1">IFERROR(VLOOKUP($AQ19,База!$A:$BE,13,0),"")</f>
        <v/>
      </c>
      <c r="AU19" s="1" t="str">
        <f ca="1">IFERROR(VLOOKUP($AQ19,База!$A:$BE,16,0),"")</f>
        <v/>
      </c>
      <c r="AV19" s="1" t="str">
        <f ca="1">IFERROR(VLOOKUP($AQ19,База!$A:$BE,17,0),"")</f>
        <v/>
      </c>
    </row>
    <row r="20" spans="1:48" x14ac:dyDescent="0.25">
      <c r="A20" t="s">
        <v>21</v>
      </c>
      <c r="B20" s="1" t="str">
        <f ca="1">IFERROR(VLOOKUP($A20,База!$A:$BE,10,0),"")</f>
        <v/>
      </c>
      <c r="C20" s="1" t="str">
        <f ca="1">IFERROR(VLOOKUP($A20,База!$A:$BE,13,0),"")</f>
        <v/>
      </c>
      <c r="D20" s="1" t="str">
        <f ca="1">IFERROR(VLOOKUP($A20,База!$A:$BE,16,0),"")</f>
        <v/>
      </c>
      <c r="E20" s="1" t="str">
        <f ca="1">IFERROR(VLOOKUP($A20,База!$A:$BE,17,0),"")</f>
        <v/>
      </c>
      <c r="F20">
        <v>215</v>
      </c>
      <c r="I20" s="1" t="str">
        <f ca="1">IFERROR(VLOOKUP($F20,База!$A:$BE,10,0),"")</f>
        <v/>
      </c>
      <c r="J20" s="1" t="str">
        <f ca="1">IFERROR(VLOOKUP($F20,База!$A:$BE,13,0),"")</f>
        <v/>
      </c>
      <c r="K20" s="1" t="str">
        <f ca="1">IFERROR(VLOOKUP($F20,База!$A:$BE,16,0),"")</f>
        <v/>
      </c>
      <c r="L20" s="1" t="str">
        <f ca="1">IFERROR(VLOOKUP($F20,База!$A:$BE,17,0),"")</f>
        <v/>
      </c>
      <c r="M20">
        <v>315</v>
      </c>
      <c r="O20" s="1" t="str">
        <f ca="1">IFERROR(VLOOKUP($M20,База!$A:$BE,10,0),"")</f>
        <v/>
      </c>
      <c r="P20" s="1" t="str">
        <f ca="1">IFERROR(VLOOKUP($M20,База!$A:$BE,13,0),"")</f>
        <v/>
      </c>
      <c r="Q20" s="1" t="str">
        <f ca="1">IFERROR(VLOOKUP($M20,База!$A:$BE,16,0),"")</f>
        <v/>
      </c>
      <c r="R20" s="1" t="str">
        <f ca="1">IFERROR(VLOOKUP($M20,База!$A:$BE,17,0),"")</f>
        <v/>
      </c>
      <c r="S20">
        <v>415</v>
      </c>
      <c r="U20" s="1" t="str">
        <f ca="1">IFERROR(VLOOKUP($S20,База!$A:$BE,10,0),"")</f>
        <v/>
      </c>
      <c r="V20" s="1" t="str">
        <f ca="1">IFERROR(VLOOKUP($S20,База!$A:$BE,13,0),"")</f>
        <v/>
      </c>
      <c r="W20" s="1" t="str">
        <f ca="1">IFERROR(VLOOKUP($S20,База!$A:$BE,16,0),"")</f>
        <v/>
      </c>
      <c r="X20" s="1" t="str">
        <f ca="1">IFERROR(VLOOKUP($S20,База!$A:$BE,17,0),"")</f>
        <v/>
      </c>
      <c r="Y20" s="5">
        <v>515</v>
      </c>
      <c r="AA20" s="1" t="str">
        <f ca="1">IFERROR(VLOOKUP($Y20,База!$A:$BE,10,0),"")</f>
        <v/>
      </c>
      <c r="AB20" s="1" t="str">
        <f ca="1">IFERROR(VLOOKUP($Y20,База!$A:$BE,13,0),"")</f>
        <v/>
      </c>
      <c r="AC20" s="1" t="str">
        <f ca="1">IFERROR(VLOOKUP($Y20,База!$A:$BE,16,0),"")</f>
        <v/>
      </c>
      <c r="AD20" s="1" t="str">
        <f ca="1">IFERROR(VLOOKUP($Y20,База!$A:$BE,17,0),"")</f>
        <v/>
      </c>
      <c r="AE20" s="5">
        <v>615</v>
      </c>
      <c r="AG20" s="1" t="str">
        <f ca="1">IFERROR(VLOOKUP($AE20,База!$A:$BE,10,0),"")</f>
        <v/>
      </c>
      <c r="AH20" s="1" t="str">
        <f ca="1">IFERROR(VLOOKUP($AE20,База!$A:$BE,13,0),"")</f>
        <v/>
      </c>
      <c r="AI20" s="1" t="str">
        <f ca="1">IFERROR(VLOOKUP($AE20,База!$A:$BE,16,0),"")</f>
        <v/>
      </c>
      <c r="AJ20" s="1" t="str">
        <f ca="1">IFERROR(VLOOKUP($AE20,База!$A:$BE,17,0),"")</f>
        <v/>
      </c>
      <c r="AK20" s="5">
        <v>715</v>
      </c>
      <c r="AM20" s="1" t="str">
        <f ca="1">IFERROR(VLOOKUP($AK20,База!$A:$BE,10,0),"")</f>
        <v/>
      </c>
      <c r="AN20" s="1" t="str">
        <f ca="1">IFERROR(VLOOKUP($AK20,База!$A:$BE,13,0),"")</f>
        <v/>
      </c>
      <c r="AO20" s="1" t="str">
        <f ca="1">IFERROR(VLOOKUP($AK20,База!$A:$BE,16,0),"")</f>
        <v/>
      </c>
      <c r="AP20" s="1" t="str">
        <f ca="1">IFERROR(VLOOKUP($AK20,База!$A:$BE,17,0),"")</f>
        <v/>
      </c>
      <c r="AQ20" s="5">
        <v>815</v>
      </c>
      <c r="AS20" s="1" t="str">
        <f ca="1">IFERROR(VLOOKUP($AQ20,База!$A:$BE,10,0),"")</f>
        <v/>
      </c>
      <c r="AT20" s="1" t="str">
        <f ca="1">IFERROR(VLOOKUP($AQ20,База!$A:$BE,13,0),"")</f>
        <v/>
      </c>
      <c r="AU20" s="1" t="str">
        <f ca="1">IFERROR(VLOOKUP($AQ20,База!$A:$BE,16,0),"")</f>
        <v/>
      </c>
      <c r="AV20" s="1" t="str">
        <f ca="1">IFERROR(VLOOKUP($AQ20,База!$A:$BE,17,0),"")</f>
        <v/>
      </c>
    </row>
    <row r="21" spans="1:48" x14ac:dyDescent="0.25">
      <c r="A21" t="s">
        <v>22</v>
      </c>
      <c r="B21" s="1" t="str">
        <f ca="1">IFERROR(VLOOKUP($A21,База!$A:$BE,10,0),"")</f>
        <v/>
      </c>
      <c r="C21" s="1" t="str">
        <f ca="1">IFERROR(VLOOKUP($A21,База!$A:$BE,13,0),"")</f>
        <v/>
      </c>
      <c r="D21" s="1" t="str">
        <f ca="1">IFERROR(VLOOKUP($A21,База!$A:$BE,16,0),"")</f>
        <v/>
      </c>
      <c r="E21" s="1" t="str">
        <f ca="1">IFERROR(VLOOKUP($A21,База!$A:$BE,17,0),"")</f>
        <v/>
      </c>
      <c r="F21">
        <v>216</v>
      </c>
      <c r="I21" s="1" t="str">
        <f ca="1">IFERROR(VLOOKUP($F21,База!$A:$BE,10,0),"")</f>
        <v/>
      </c>
      <c r="J21" s="1" t="str">
        <f ca="1">IFERROR(VLOOKUP($F21,База!$A:$BE,13,0),"")</f>
        <v/>
      </c>
      <c r="K21" s="1" t="str">
        <f ca="1">IFERROR(VLOOKUP($F21,База!$A:$BE,16,0),"")</f>
        <v/>
      </c>
      <c r="L21" s="1" t="str">
        <f ca="1">IFERROR(VLOOKUP($F21,База!$A:$BE,17,0),"")</f>
        <v/>
      </c>
      <c r="M21">
        <v>316</v>
      </c>
      <c r="O21" s="1" t="str">
        <f ca="1">IFERROR(VLOOKUP($M21,База!$A:$BE,10,0),"")</f>
        <v/>
      </c>
      <c r="P21" s="1" t="str">
        <f ca="1">IFERROR(VLOOKUP($M21,База!$A:$BE,13,0),"")</f>
        <v/>
      </c>
      <c r="Q21" s="1" t="str">
        <f ca="1">IFERROR(VLOOKUP($M21,База!$A:$BE,16,0),"")</f>
        <v/>
      </c>
      <c r="R21" s="1" t="str">
        <f ca="1">IFERROR(VLOOKUP($M21,База!$A:$BE,17,0),"")</f>
        <v/>
      </c>
      <c r="S21">
        <v>416</v>
      </c>
      <c r="U21" s="1" t="str">
        <f ca="1">IFERROR(VLOOKUP($S21,База!$A:$BE,10,0),"")</f>
        <v/>
      </c>
      <c r="V21" s="1" t="str">
        <f ca="1">IFERROR(VLOOKUP($S21,База!$A:$BE,13,0),"")</f>
        <v/>
      </c>
      <c r="W21" s="1" t="str">
        <f ca="1">IFERROR(VLOOKUP($S21,База!$A:$BE,16,0),"")</f>
        <v/>
      </c>
      <c r="X21" s="1" t="str">
        <f ca="1">IFERROR(VLOOKUP($S21,База!$A:$BE,17,0),"")</f>
        <v/>
      </c>
      <c r="Y21" s="5">
        <v>516</v>
      </c>
      <c r="AA21" s="1" t="str">
        <f ca="1">IFERROR(VLOOKUP($Y21,База!$A:$BE,10,0),"")</f>
        <v/>
      </c>
      <c r="AB21" s="1" t="str">
        <f ca="1">IFERROR(VLOOKUP($Y21,База!$A:$BE,13,0),"")</f>
        <v/>
      </c>
      <c r="AC21" s="1" t="str">
        <f ca="1">IFERROR(VLOOKUP($Y21,База!$A:$BE,16,0),"")</f>
        <v/>
      </c>
      <c r="AD21" s="1" t="str">
        <f ca="1">IFERROR(VLOOKUP($Y21,База!$A:$BE,17,0),"")</f>
        <v/>
      </c>
      <c r="AE21" s="5">
        <v>616</v>
      </c>
      <c r="AG21" s="1" t="str">
        <f ca="1">IFERROR(VLOOKUP($AE21,База!$A:$BE,10,0),"")</f>
        <v/>
      </c>
      <c r="AH21" s="1" t="str">
        <f ca="1">IFERROR(VLOOKUP($AE21,База!$A:$BE,13,0),"")</f>
        <v/>
      </c>
      <c r="AI21" s="1" t="str">
        <f ca="1">IFERROR(VLOOKUP($AE21,База!$A:$BE,16,0),"")</f>
        <v/>
      </c>
      <c r="AJ21" s="1" t="str">
        <f ca="1">IFERROR(VLOOKUP($AE21,База!$A:$BE,17,0),"")</f>
        <v/>
      </c>
      <c r="AK21" s="5">
        <v>716</v>
      </c>
      <c r="AM21" s="1" t="str">
        <f ca="1">IFERROR(VLOOKUP($AK21,База!$A:$BE,10,0),"")</f>
        <v/>
      </c>
      <c r="AN21" s="1" t="str">
        <f ca="1">IFERROR(VLOOKUP($AK21,База!$A:$BE,13,0),"")</f>
        <v/>
      </c>
      <c r="AO21" s="1" t="str">
        <f ca="1">IFERROR(VLOOKUP($AK21,База!$A:$BE,16,0),"")</f>
        <v/>
      </c>
      <c r="AP21" s="1" t="str">
        <f ca="1">IFERROR(VLOOKUP($AK21,База!$A:$BE,17,0),"")</f>
        <v/>
      </c>
      <c r="AQ21" s="5">
        <v>816</v>
      </c>
      <c r="AS21" s="1" t="str">
        <f ca="1">IFERROR(VLOOKUP($AQ21,База!$A:$BE,10,0),"")</f>
        <v/>
      </c>
      <c r="AT21" s="1" t="str">
        <f ca="1">IFERROR(VLOOKUP($AQ21,База!$A:$BE,13,0),"")</f>
        <v/>
      </c>
      <c r="AU21" s="1" t="str">
        <f ca="1">IFERROR(VLOOKUP($AQ21,База!$A:$BE,16,0),"")</f>
        <v/>
      </c>
      <c r="AV21" s="1" t="str">
        <f ca="1">IFERROR(VLOOKUP($AQ21,База!$A:$BE,17,0),"")</f>
        <v/>
      </c>
    </row>
    <row r="22" spans="1:48" x14ac:dyDescent="0.25">
      <c r="A22" t="s">
        <v>23</v>
      </c>
      <c r="B22" s="1" t="str">
        <f ca="1">IFERROR(VLOOKUP($A22,База!$A:$BE,10,0),"")</f>
        <v/>
      </c>
      <c r="C22" s="1" t="str">
        <f ca="1">IFERROR(VLOOKUP($A22,База!$A:$BE,13,0),"")</f>
        <v/>
      </c>
      <c r="D22" s="1" t="str">
        <f ca="1">IFERROR(VLOOKUP($A22,База!$A:$BE,16,0),"")</f>
        <v/>
      </c>
      <c r="E22" s="1" t="str">
        <f ca="1">IFERROR(VLOOKUP($A22,База!$A:$BE,17,0),"")</f>
        <v/>
      </c>
      <c r="F22">
        <v>217</v>
      </c>
      <c r="I22" s="1" t="str">
        <f ca="1">IFERROR(VLOOKUP($F22,База!$A:$BE,10,0),"")</f>
        <v/>
      </c>
      <c r="J22" s="1" t="str">
        <f ca="1">IFERROR(VLOOKUP($F22,База!$A:$BE,13,0),"")</f>
        <v/>
      </c>
      <c r="K22" s="1" t="str">
        <f ca="1">IFERROR(VLOOKUP($F22,База!$A:$BE,16,0),"")</f>
        <v/>
      </c>
      <c r="L22" s="1" t="str">
        <f ca="1">IFERROR(VLOOKUP($F22,База!$A:$BE,17,0),"")</f>
        <v/>
      </c>
      <c r="M22">
        <v>317</v>
      </c>
      <c r="O22" s="1" t="str">
        <f ca="1">IFERROR(VLOOKUP($M22,База!$A:$BE,10,0),"")</f>
        <v/>
      </c>
      <c r="P22" s="1" t="str">
        <f ca="1">IFERROR(VLOOKUP($M22,База!$A:$BE,13,0),"")</f>
        <v/>
      </c>
      <c r="Q22" s="1" t="str">
        <f ca="1">IFERROR(VLOOKUP($M22,База!$A:$BE,16,0),"")</f>
        <v/>
      </c>
      <c r="R22" s="1" t="str">
        <f ca="1">IFERROR(VLOOKUP($M22,База!$A:$BE,17,0),"")</f>
        <v/>
      </c>
      <c r="S22">
        <v>417</v>
      </c>
      <c r="U22" s="1" t="str">
        <f ca="1">IFERROR(VLOOKUP($S22,База!$A:$BE,10,0),"")</f>
        <v/>
      </c>
      <c r="V22" s="1" t="str">
        <f ca="1">IFERROR(VLOOKUP($S22,База!$A:$BE,13,0),"")</f>
        <v/>
      </c>
      <c r="W22" s="1" t="str">
        <f ca="1">IFERROR(VLOOKUP($S22,База!$A:$BE,16,0),"")</f>
        <v/>
      </c>
      <c r="X22" s="1" t="str">
        <f ca="1">IFERROR(VLOOKUP($S22,База!$A:$BE,17,0),"")</f>
        <v/>
      </c>
      <c r="Y22" s="5">
        <v>517</v>
      </c>
      <c r="AA22" s="1" t="str">
        <f ca="1">IFERROR(VLOOKUP($Y22,База!$A:$BE,10,0),"")</f>
        <v/>
      </c>
      <c r="AB22" s="1" t="str">
        <f ca="1">IFERROR(VLOOKUP($Y22,База!$A:$BE,13,0),"")</f>
        <v/>
      </c>
      <c r="AC22" s="1" t="str">
        <f ca="1">IFERROR(VLOOKUP($Y22,База!$A:$BE,16,0),"")</f>
        <v/>
      </c>
      <c r="AD22" s="1" t="str">
        <f ca="1">IFERROR(VLOOKUP($Y22,База!$A:$BE,17,0),"")</f>
        <v/>
      </c>
      <c r="AE22" s="5">
        <v>617</v>
      </c>
      <c r="AG22" s="1" t="str">
        <f ca="1">IFERROR(VLOOKUP($AE22,База!$A:$BE,10,0),"")</f>
        <v/>
      </c>
      <c r="AH22" s="1" t="str">
        <f ca="1">IFERROR(VLOOKUP($AE22,База!$A:$BE,13,0),"")</f>
        <v/>
      </c>
      <c r="AI22" s="1" t="str">
        <f ca="1">IFERROR(VLOOKUP($AE22,База!$A:$BE,16,0),"")</f>
        <v/>
      </c>
      <c r="AJ22" s="1" t="str">
        <f ca="1">IFERROR(VLOOKUP($AE22,База!$A:$BE,17,0),"")</f>
        <v/>
      </c>
      <c r="AK22" s="5">
        <v>717</v>
      </c>
      <c r="AM22" s="1" t="str">
        <f ca="1">IFERROR(VLOOKUP($AK22,База!$A:$BE,10,0),"")</f>
        <v/>
      </c>
      <c r="AN22" s="1" t="str">
        <f ca="1">IFERROR(VLOOKUP($AK22,База!$A:$BE,13,0),"")</f>
        <v/>
      </c>
      <c r="AO22" s="1" t="str">
        <f ca="1">IFERROR(VLOOKUP($AK22,База!$A:$BE,16,0),"")</f>
        <v/>
      </c>
      <c r="AP22" s="1" t="str">
        <f ca="1">IFERROR(VLOOKUP($AK22,База!$A:$BE,17,0),"")</f>
        <v/>
      </c>
      <c r="AQ22" s="5">
        <v>817</v>
      </c>
      <c r="AS22" s="1" t="str">
        <f ca="1">IFERROR(VLOOKUP($AQ22,База!$A:$BE,10,0),"")</f>
        <v/>
      </c>
      <c r="AT22" s="1" t="str">
        <f ca="1">IFERROR(VLOOKUP($AQ22,База!$A:$BE,13,0),"")</f>
        <v/>
      </c>
      <c r="AU22" s="1" t="str">
        <f ca="1">IFERROR(VLOOKUP($AQ22,База!$A:$BE,16,0),"")</f>
        <v/>
      </c>
      <c r="AV22" s="1" t="str">
        <f ca="1">IFERROR(VLOOKUP($AQ22,База!$A:$BE,17,0),"")</f>
        <v/>
      </c>
    </row>
    <row r="23" spans="1:48" x14ac:dyDescent="0.25">
      <c r="A23" t="s">
        <v>24</v>
      </c>
      <c r="B23" s="1" t="str">
        <f ca="1">IFERROR(VLOOKUP($A23,База!$A:$BE,10,0),"")</f>
        <v/>
      </c>
      <c r="C23" s="1" t="str">
        <f ca="1">IFERROR(VLOOKUP($A23,База!$A:$BE,13,0),"")</f>
        <v/>
      </c>
      <c r="D23" s="1" t="str">
        <f ca="1">IFERROR(VLOOKUP($A23,База!$A:$BE,16,0),"")</f>
        <v/>
      </c>
      <c r="E23" s="1" t="str">
        <f ca="1">IFERROR(VLOOKUP($A23,База!$A:$BE,17,0),"")</f>
        <v/>
      </c>
      <c r="F23">
        <v>218</v>
      </c>
      <c r="I23" s="1" t="str">
        <f ca="1">IFERROR(VLOOKUP($F23,База!$A:$BE,10,0),"")</f>
        <v/>
      </c>
      <c r="J23" s="1" t="str">
        <f ca="1">IFERROR(VLOOKUP($F23,База!$A:$BE,13,0),"")</f>
        <v/>
      </c>
      <c r="K23" s="1" t="str">
        <f ca="1">IFERROR(VLOOKUP($F23,База!$A:$BE,16,0),"")</f>
        <v/>
      </c>
      <c r="L23" s="1" t="str">
        <f ca="1">IFERROR(VLOOKUP($F23,База!$A:$BE,17,0),"")</f>
        <v/>
      </c>
      <c r="M23">
        <v>318</v>
      </c>
      <c r="O23" s="1" t="str">
        <f ca="1">IFERROR(VLOOKUP($M23,База!$A:$BE,10,0),"")</f>
        <v/>
      </c>
      <c r="P23" s="1" t="str">
        <f ca="1">IFERROR(VLOOKUP($M23,База!$A:$BE,13,0),"")</f>
        <v/>
      </c>
      <c r="Q23" s="1" t="str">
        <f ca="1">IFERROR(VLOOKUP($M23,База!$A:$BE,16,0),"")</f>
        <v/>
      </c>
      <c r="R23" s="1" t="str">
        <f ca="1">IFERROR(VLOOKUP($M23,База!$A:$BE,17,0),"")</f>
        <v/>
      </c>
      <c r="S23">
        <v>418</v>
      </c>
      <c r="U23" s="1" t="str">
        <f ca="1">IFERROR(VLOOKUP($S23,База!$A:$BE,10,0),"")</f>
        <v/>
      </c>
      <c r="V23" s="1" t="str">
        <f ca="1">IFERROR(VLOOKUP($S23,База!$A:$BE,13,0),"")</f>
        <v/>
      </c>
      <c r="W23" s="1" t="str">
        <f ca="1">IFERROR(VLOOKUP($S23,База!$A:$BE,16,0),"")</f>
        <v/>
      </c>
      <c r="X23" s="1" t="str">
        <f ca="1">IFERROR(VLOOKUP($S23,База!$A:$BE,17,0),"")</f>
        <v/>
      </c>
      <c r="Y23" s="5">
        <v>518</v>
      </c>
      <c r="AA23" s="1" t="str">
        <f ca="1">IFERROR(VLOOKUP($Y23,База!$A:$BE,10,0),"")</f>
        <v/>
      </c>
      <c r="AB23" s="1" t="str">
        <f ca="1">IFERROR(VLOOKUP($Y23,База!$A:$BE,13,0),"")</f>
        <v/>
      </c>
      <c r="AC23" s="1" t="str">
        <f ca="1">IFERROR(VLOOKUP($Y23,База!$A:$BE,16,0),"")</f>
        <v/>
      </c>
      <c r="AD23" s="1" t="str">
        <f ca="1">IFERROR(VLOOKUP($Y23,База!$A:$BE,17,0),"")</f>
        <v/>
      </c>
      <c r="AE23" s="5">
        <v>618</v>
      </c>
      <c r="AG23" s="1" t="str">
        <f ca="1">IFERROR(VLOOKUP($AE23,База!$A:$BE,10,0),"")</f>
        <v/>
      </c>
      <c r="AH23" s="1" t="str">
        <f ca="1">IFERROR(VLOOKUP($AE23,База!$A:$BE,13,0),"")</f>
        <v/>
      </c>
      <c r="AI23" s="1" t="str">
        <f ca="1">IFERROR(VLOOKUP($AE23,База!$A:$BE,16,0),"")</f>
        <v/>
      </c>
      <c r="AJ23" s="1" t="str">
        <f ca="1">IFERROR(VLOOKUP($AE23,База!$A:$BE,17,0),"")</f>
        <v/>
      </c>
      <c r="AK23" s="5">
        <v>718</v>
      </c>
      <c r="AM23" s="1" t="str">
        <f ca="1">IFERROR(VLOOKUP($AK23,База!$A:$BE,10,0),"")</f>
        <v/>
      </c>
      <c r="AN23" s="1" t="str">
        <f ca="1">IFERROR(VLOOKUP($AK23,База!$A:$BE,13,0),"")</f>
        <v/>
      </c>
      <c r="AO23" s="1" t="str">
        <f ca="1">IFERROR(VLOOKUP($AK23,База!$A:$BE,16,0),"")</f>
        <v/>
      </c>
      <c r="AP23" s="1" t="str">
        <f ca="1">IFERROR(VLOOKUP($AK23,База!$A:$BE,17,0),"")</f>
        <v/>
      </c>
      <c r="AQ23" s="5">
        <v>818</v>
      </c>
      <c r="AS23" s="1" t="str">
        <f ca="1">IFERROR(VLOOKUP($AQ23,База!$A:$BE,10,0),"")</f>
        <v/>
      </c>
      <c r="AT23" s="1" t="str">
        <f ca="1">IFERROR(VLOOKUP($AQ23,База!$A:$BE,13,0),"")</f>
        <v/>
      </c>
      <c r="AU23" s="1" t="str">
        <f ca="1">IFERROR(VLOOKUP($AQ23,База!$A:$BE,16,0),"")</f>
        <v/>
      </c>
      <c r="AV23" s="1" t="str">
        <f ca="1">IFERROR(VLOOKUP($AQ23,База!$A:$BE,17,0),"")</f>
        <v/>
      </c>
    </row>
    <row r="24" spans="1:48" x14ac:dyDescent="0.25">
      <c r="A24" t="s">
        <v>25</v>
      </c>
      <c r="B24" s="1" t="str">
        <f ca="1">IFERROR(VLOOKUP($A24,База!$A:$BE,10,0),"")</f>
        <v/>
      </c>
      <c r="C24" s="1" t="str">
        <f ca="1">IFERROR(VLOOKUP($A24,База!$A:$BE,13,0),"")</f>
        <v/>
      </c>
      <c r="D24" s="1" t="str">
        <f ca="1">IFERROR(VLOOKUP($A24,База!$A:$BE,16,0),"")</f>
        <v/>
      </c>
      <c r="E24" s="1" t="str">
        <f ca="1">IFERROR(VLOOKUP($A24,База!$A:$BE,17,0),"")</f>
        <v/>
      </c>
      <c r="F24">
        <v>219</v>
      </c>
      <c r="I24" s="1" t="str">
        <f ca="1">IFERROR(VLOOKUP($F24,База!$A:$BE,10,0),"")</f>
        <v/>
      </c>
      <c r="J24" s="1" t="str">
        <f ca="1">IFERROR(VLOOKUP($F24,База!$A:$BE,13,0),"")</f>
        <v/>
      </c>
      <c r="K24" s="1" t="str">
        <f ca="1">IFERROR(VLOOKUP($F24,База!$A:$BE,16,0),"")</f>
        <v/>
      </c>
      <c r="L24" s="1" t="str">
        <f ca="1">IFERROR(VLOOKUP($F24,База!$A:$BE,17,0),"")</f>
        <v/>
      </c>
      <c r="M24">
        <v>319</v>
      </c>
      <c r="O24" s="1" t="str">
        <f ca="1">IFERROR(VLOOKUP($M24,База!$A:$BE,10,0),"")</f>
        <v/>
      </c>
      <c r="P24" s="1" t="str">
        <f ca="1">IFERROR(VLOOKUP($M24,База!$A:$BE,13,0),"")</f>
        <v/>
      </c>
      <c r="Q24" s="1" t="str">
        <f ca="1">IFERROR(VLOOKUP($M24,База!$A:$BE,16,0),"")</f>
        <v/>
      </c>
      <c r="R24" s="1" t="str">
        <f ca="1">IFERROR(VLOOKUP($M24,База!$A:$BE,17,0),"")</f>
        <v/>
      </c>
      <c r="S24">
        <v>419</v>
      </c>
      <c r="U24" s="1" t="str">
        <f ca="1">IFERROR(VLOOKUP($S24,База!$A:$BE,10,0),"")</f>
        <v/>
      </c>
      <c r="V24" s="1" t="str">
        <f ca="1">IFERROR(VLOOKUP($S24,База!$A:$BE,13,0),"")</f>
        <v/>
      </c>
      <c r="W24" s="1" t="str">
        <f ca="1">IFERROR(VLOOKUP($S24,База!$A:$BE,16,0),"")</f>
        <v/>
      </c>
      <c r="X24" s="1" t="str">
        <f ca="1">IFERROR(VLOOKUP($S24,База!$A:$BE,17,0),"")</f>
        <v/>
      </c>
      <c r="Y24" s="5">
        <v>519</v>
      </c>
      <c r="AA24" s="1" t="str">
        <f ca="1">IFERROR(VLOOKUP($Y24,База!$A:$BE,10,0),"")</f>
        <v/>
      </c>
      <c r="AB24" s="1" t="str">
        <f ca="1">IFERROR(VLOOKUP($Y24,База!$A:$BE,13,0),"")</f>
        <v/>
      </c>
      <c r="AC24" s="1" t="str">
        <f ca="1">IFERROR(VLOOKUP($Y24,База!$A:$BE,16,0),"")</f>
        <v/>
      </c>
      <c r="AD24" s="1" t="str">
        <f ca="1">IFERROR(VLOOKUP($Y24,База!$A:$BE,17,0),"")</f>
        <v/>
      </c>
      <c r="AE24" s="5">
        <v>619</v>
      </c>
      <c r="AG24" s="1" t="str">
        <f ca="1">IFERROR(VLOOKUP($AE24,База!$A:$BE,10,0),"")</f>
        <v/>
      </c>
      <c r="AH24" s="1" t="str">
        <f ca="1">IFERROR(VLOOKUP($AE24,База!$A:$BE,13,0),"")</f>
        <v/>
      </c>
      <c r="AI24" s="1" t="str">
        <f ca="1">IFERROR(VLOOKUP($AE24,База!$A:$BE,16,0),"")</f>
        <v/>
      </c>
      <c r="AJ24" s="1" t="str">
        <f ca="1">IFERROR(VLOOKUP($AE24,База!$A:$BE,17,0),"")</f>
        <v/>
      </c>
      <c r="AK24" s="5">
        <v>719</v>
      </c>
      <c r="AM24" s="1" t="str">
        <f ca="1">IFERROR(VLOOKUP($AK24,База!$A:$BE,10,0),"")</f>
        <v/>
      </c>
      <c r="AN24" s="1" t="str">
        <f ca="1">IFERROR(VLOOKUP($AK24,База!$A:$BE,13,0),"")</f>
        <v/>
      </c>
      <c r="AO24" s="1" t="str">
        <f ca="1">IFERROR(VLOOKUP($AK24,База!$A:$BE,16,0),"")</f>
        <v/>
      </c>
      <c r="AP24" s="1" t="str">
        <f ca="1">IFERROR(VLOOKUP($AK24,База!$A:$BE,17,0),"")</f>
        <v/>
      </c>
      <c r="AQ24" s="5">
        <v>819</v>
      </c>
      <c r="AS24" s="1" t="str">
        <f ca="1">IFERROR(VLOOKUP($AQ24,База!$A:$BE,10,0),"")</f>
        <v/>
      </c>
      <c r="AT24" s="1" t="str">
        <f ca="1">IFERROR(VLOOKUP($AQ24,База!$A:$BE,13,0),"")</f>
        <v/>
      </c>
      <c r="AU24" s="1" t="str">
        <f ca="1">IFERROR(VLOOKUP($AQ24,База!$A:$BE,16,0),"")</f>
        <v/>
      </c>
      <c r="AV24" s="1" t="str">
        <f ca="1">IFERROR(VLOOKUP($AQ24,База!$A:$BE,17,0),"")</f>
        <v/>
      </c>
    </row>
    <row r="25" spans="1:48" x14ac:dyDescent="0.25">
      <c r="A25" t="s">
        <v>26</v>
      </c>
      <c r="B25" s="1" t="str">
        <f ca="1">IFERROR(VLOOKUP($A25,База!$A:$BE,10,0),"")</f>
        <v/>
      </c>
      <c r="C25" s="1" t="str">
        <f ca="1">IFERROR(VLOOKUP($A25,База!$A:$BE,13,0),"")</f>
        <v/>
      </c>
      <c r="D25" s="1" t="str">
        <f ca="1">IFERROR(VLOOKUP($A25,База!$A:$BE,16,0),"")</f>
        <v/>
      </c>
      <c r="E25" s="1" t="str">
        <f ca="1">IFERROR(VLOOKUP($A25,База!$A:$BE,17,0),"")</f>
        <v/>
      </c>
      <c r="F25">
        <v>220</v>
      </c>
      <c r="I25" s="1" t="str">
        <f ca="1">IFERROR(VLOOKUP($F25,База!$A:$BE,10,0),"")</f>
        <v/>
      </c>
      <c r="J25" s="1" t="str">
        <f ca="1">IFERROR(VLOOKUP($F25,База!$A:$BE,13,0),"")</f>
        <v/>
      </c>
      <c r="K25" s="1" t="str">
        <f ca="1">IFERROR(VLOOKUP($F25,База!$A:$BE,16,0),"")</f>
        <v/>
      </c>
      <c r="L25" s="1" t="str">
        <f ca="1">IFERROR(VLOOKUP($F25,База!$A:$BE,17,0),"")</f>
        <v/>
      </c>
      <c r="M25">
        <v>320</v>
      </c>
      <c r="O25" s="1" t="str">
        <f ca="1">IFERROR(VLOOKUP($M25,База!$A:$BE,10,0),"")</f>
        <v/>
      </c>
      <c r="P25" s="1" t="str">
        <f ca="1">IFERROR(VLOOKUP($M25,База!$A:$BE,13,0),"")</f>
        <v/>
      </c>
      <c r="Q25" s="1" t="str">
        <f ca="1">IFERROR(VLOOKUP($M25,База!$A:$BE,16,0),"")</f>
        <v/>
      </c>
      <c r="R25" s="1" t="str">
        <f ca="1">IFERROR(VLOOKUP($M25,База!$A:$BE,17,0),"")</f>
        <v/>
      </c>
      <c r="S25">
        <v>420</v>
      </c>
      <c r="U25" s="1" t="str">
        <f ca="1">IFERROR(VLOOKUP($S25,База!$A:$BE,10,0),"")</f>
        <v/>
      </c>
      <c r="V25" s="1" t="str">
        <f ca="1">IFERROR(VLOOKUP($S25,База!$A:$BE,13,0),"")</f>
        <v/>
      </c>
      <c r="W25" s="1" t="str">
        <f ca="1">IFERROR(VLOOKUP($S25,База!$A:$BE,16,0),"")</f>
        <v/>
      </c>
      <c r="X25" s="1" t="str">
        <f ca="1">IFERROR(VLOOKUP($S25,База!$A:$BE,17,0),"")</f>
        <v/>
      </c>
      <c r="Y25" s="5">
        <v>520</v>
      </c>
      <c r="AA25" s="1" t="str">
        <f ca="1">IFERROR(VLOOKUP($Y25,База!$A:$BE,10,0),"")</f>
        <v/>
      </c>
      <c r="AB25" s="1" t="str">
        <f ca="1">IFERROR(VLOOKUP($Y25,База!$A:$BE,13,0),"")</f>
        <v/>
      </c>
      <c r="AC25" s="1" t="str">
        <f ca="1">IFERROR(VLOOKUP($Y25,База!$A:$BE,16,0),"")</f>
        <v/>
      </c>
      <c r="AD25" s="1" t="str">
        <f ca="1">IFERROR(VLOOKUP($Y25,База!$A:$BE,17,0),"")</f>
        <v/>
      </c>
      <c r="AE25" s="5">
        <v>620</v>
      </c>
      <c r="AG25" s="1" t="str">
        <f ca="1">IFERROR(VLOOKUP($AE25,База!$A:$BE,10,0),"")</f>
        <v/>
      </c>
      <c r="AH25" s="1" t="str">
        <f ca="1">IFERROR(VLOOKUP($AE25,База!$A:$BE,13,0),"")</f>
        <v/>
      </c>
      <c r="AI25" s="1" t="str">
        <f ca="1">IFERROR(VLOOKUP($AE25,База!$A:$BE,16,0),"")</f>
        <v/>
      </c>
      <c r="AJ25" s="1" t="str">
        <f ca="1">IFERROR(VLOOKUP($AE25,База!$A:$BE,17,0),"")</f>
        <v/>
      </c>
      <c r="AK25" s="5">
        <v>720</v>
      </c>
      <c r="AM25" s="1" t="str">
        <f ca="1">IFERROR(VLOOKUP($AK25,База!$A:$BE,10,0),"")</f>
        <v/>
      </c>
      <c r="AN25" s="1" t="str">
        <f ca="1">IFERROR(VLOOKUP($AK25,База!$A:$BE,13,0),"")</f>
        <v/>
      </c>
      <c r="AO25" s="1" t="str">
        <f ca="1">IFERROR(VLOOKUP($AK25,База!$A:$BE,16,0),"")</f>
        <v/>
      </c>
      <c r="AP25" s="1" t="str">
        <f ca="1">IFERROR(VLOOKUP($AK25,База!$A:$BE,17,0),"")</f>
        <v/>
      </c>
      <c r="AQ25" s="5">
        <v>820</v>
      </c>
      <c r="AS25" s="1" t="str">
        <f ca="1">IFERROR(VLOOKUP($AQ25,База!$A:$BE,10,0),"")</f>
        <v/>
      </c>
      <c r="AT25" s="1" t="str">
        <f ca="1">IFERROR(VLOOKUP($AQ25,База!$A:$BE,13,0),"")</f>
        <v/>
      </c>
      <c r="AU25" s="1" t="str">
        <f ca="1">IFERROR(VLOOKUP($AQ25,База!$A:$BE,16,0),"")</f>
        <v/>
      </c>
      <c r="AV25" s="1" t="str">
        <f ca="1">IFERROR(VLOOKUP($AQ25,База!$A:$BE,17,0),"")</f>
        <v/>
      </c>
    </row>
    <row r="26" spans="1:48" x14ac:dyDescent="0.25">
      <c r="A26" t="s">
        <v>27</v>
      </c>
      <c r="B26" s="1" t="str">
        <f ca="1">IFERROR(VLOOKUP($A26,База!$A:$BE,10,0),"")</f>
        <v/>
      </c>
      <c r="C26" s="1" t="str">
        <f ca="1">IFERROR(VLOOKUP($A26,База!$A:$BE,13,0),"")</f>
        <v/>
      </c>
      <c r="D26" s="1" t="str">
        <f ca="1">IFERROR(VLOOKUP($A26,База!$A:$BE,16,0),"")</f>
        <v/>
      </c>
      <c r="E26" s="1" t="str">
        <f ca="1">IFERROR(VLOOKUP($A26,База!$A:$BE,17,0),"")</f>
        <v/>
      </c>
      <c r="F26">
        <v>221</v>
      </c>
      <c r="I26" s="1" t="str">
        <f ca="1">IFERROR(VLOOKUP($F26,База!$A:$BE,10,0),"")</f>
        <v/>
      </c>
      <c r="J26" s="1" t="str">
        <f ca="1">IFERROR(VLOOKUP($F26,База!$A:$BE,13,0),"")</f>
        <v/>
      </c>
      <c r="K26" s="1" t="str">
        <f ca="1">IFERROR(VLOOKUP($F26,База!$A:$BE,16,0),"")</f>
        <v/>
      </c>
      <c r="L26" s="1" t="str">
        <f ca="1">IFERROR(VLOOKUP($F26,База!$A:$BE,17,0),"")</f>
        <v/>
      </c>
      <c r="M26">
        <v>321</v>
      </c>
      <c r="O26" s="1" t="str">
        <f ca="1">IFERROR(VLOOKUP($M26,База!$A:$BE,10,0),"")</f>
        <v/>
      </c>
      <c r="P26" s="1" t="str">
        <f ca="1">IFERROR(VLOOKUP($M26,База!$A:$BE,13,0),"")</f>
        <v/>
      </c>
      <c r="Q26" s="1" t="str">
        <f ca="1">IFERROR(VLOOKUP($M26,База!$A:$BE,16,0),"")</f>
        <v/>
      </c>
      <c r="R26" s="1" t="str">
        <f ca="1">IFERROR(VLOOKUP($M26,База!$A:$BE,17,0),"")</f>
        <v/>
      </c>
      <c r="S26">
        <v>421</v>
      </c>
      <c r="U26" s="1" t="str">
        <f ca="1">IFERROR(VLOOKUP($S26,База!$A:$BE,10,0),"")</f>
        <v/>
      </c>
      <c r="V26" s="1" t="str">
        <f ca="1">IFERROR(VLOOKUP($S26,База!$A:$BE,13,0),"")</f>
        <v/>
      </c>
      <c r="W26" s="1" t="str">
        <f ca="1">IFERROR(VLOOKUP($S26,База!$A:$BE,16,0),"")</f>
        <v/>
      </c>
      <c r="X26" s="1" t="str">
        <f ca="1">IFERROR(VLOOKUP($S26,База!$A:$BE,17,0),"")</f>
        <v/>
      </c>
      <c r="Y26" s="5">
        <v>521</v>
      </c>
      <c r="AA26" s="1" t="str">
        <f ca="1">IFERROR(VLOOKUP($Y26,База!$A:$BE,10,0),"")</f>
        <v/>
      </c>
      <c r="AB26" s="1" t="str">
        <f ca="1">IFERROR(VLOOKUP($Y26,База!$A:$BE,13,0),"")</f>
        <v/>
      </c>
      <c r="AC26" s="1" t="str">
        <f ca="1">IFERROR(VLOOKUP($Y26,База!$A:$BE,16,0),"")</f>
        <v/>
      </c>
      <c r="AD26" s="1" t="str">
        <f ca="1">IFERROR(VLOOKUP($Y26,База!$A:$BE,17,0),"")</f>
        <v/>
      </c>
      <c r="AE26" s="5">
        <v>621</v>
      </c>
      <c r="AG26" s="1" t="str">
        <f ca="1">IFERROR(VLOOKUP($AE26,База!$A:$BE,10,0),"")</f>
        <v/>
      </c>
      <c r="AH26" s="1" t="str">
        <f ca="1">IFERROR(VLOOKUP($AE26,База!$A:$BE,13,0),"")</f>
        <v/>
      </c>
      <c r="AI26" s="1" t="str">
        <f ca="1">IFERROR(VLOOKUP($AE26,База!$A:$BE,16,0),"")</f>
        <v/>
      </c>
      <c r="AJ26" s="1" t="str">
        <f ca="1">IFERROR(VLOOKUP($AE26,База!$A:$BE,17,0),"")</f>
        <v/>
      </c>
      <c r="AK26" s="5">
        <v>721</v>
      </c>
      <c r="AM26" s="1" t="str">
        <f ca="1">IFERROR(VLOOKUP($AK26,База!$A:$BE,10,0),"")</f>
        <v/>
      </c>
      <c r="AN26" s="1" t="str">
        <f ca="1">IFERROR(VLOOKUP($AK26,База!$A:$BE,13,0),"")</f>
        <v/>
      </c>
      <c r="AO26" s="1" t="str">
        <f ca="1">IFERROR(VLOOKUP($AK26,База!$A:$BE,16,0),"")</f>
        <v/>
      </c>
      <c r="AP26" s="1" t="str">
        <f ca="1">IFERROR(VLOOKUP($AK26,База!$A:$BE,17,0),"")</f>
        <v/>
      </c>
      <c r="AQ26" s="5">
        <v>821</v>
      </c>
      <c r="AS26" s="1" t="str">
        <f ca="1">IFERROR(VLOOKUP($AQ26,База!$A:$BE,10,0),"")</f>
        <v/>
      </c>
      <c r="AT26" s="1" t="str">
        <f ca="1">IFERROR(VLOOKUP($AQ26,База!$A:$BE,13,0),"")</f>
        <v/>
      </c>
      <c r="AU26" s="1" t="str">
        <f ca="1">IFERROR(VLOOKUP($AQ26,База!$A:$BE,16,0),"")</f>
        <v/>
      </c>
      <c r="AV26" s="1" t="str">
        <f ca="1">IFERROR(VLOOKUP($AQ26,База!$A:$BE,17,0),"")</f>
        <v/>
      </c>
    </row>
    <row r="27" spans="1:48" x14ac:dyDescent="0.25">
      <c r="A27" t="s">
        <v>28</v>
      </c>
      <c r="B27" s="1" t="str">
        <f ca="1">IFERROR(VLOOKUP($A27,База!$A:$BE,10,0),"")</f>
        <v/>
      </c>
      <c r="C27" s="1" t="str">
        <f ca="1">IFERROR(VLOOKUP($A27,База!$A:$BE,13,0),"")</f>
        <v/>
      </c>
      <c r="D27" s="1" t="str">
        <f ca="1">IFERROR(VLOOKUP($A27,База!$A:$BE,16,0),"")</f>
        <v/>
      </c>
      <c r="E27" s="1" t="str">
        <f ca="1">IFERROR(VLOOKUP($A27,База!$A:$BE,17,0),"")</f>
        <v/>
      </c>
      <c r="F27">
        <v>222</v>
      </c>
      <c r="I27" s="1" t="str">
        <f ca="1">IFERROR(VLOOKUP($F27,База!$A:$BE,10,0),"")</f>
        <v/>
      </c>
      <c r="J27" s="1" t="str">
        <f ca="1">IFERROR(VLOOKUP($F27,База!$A:$BE,13,0),"")</f>
        <v/>
      </c>
      <c r="K27" s="1" t="str">
        <f ca="1">IFERROR(VLOOKUP($F27,База!$A:$BE,16,0),"")</f>
        <v/>
      </c>
      <c r="L27" s="1" t="str">
        <f ca="1">IFERROR(VLOOKUP($F27,База!$A:$BE,17,0),"")</f>
        <v/>
      </c>
      <c r="M27">
        <v>322</v>
      </c>
      <c r="O27" s="1" t="str">
        <f ca="1">IFERROR(VLOOKUP($M27,База!$A:$BE,10,0),"")</f>
        <v/>
      </c>
      <c r="P27" s="1" t="str">
        <f ca="1">IFERROR(VLOOKUP($M27,База!$A:$BE,13,0),"")</f>
        <v/>
      </c>
      <c r="Q27" s="1" t="str">
        <f ca="1">IFERROR(VLOOKUP($M27,База!$A:$BE,16,0),"")</f>
        <v/>
      </c>
      <c r="R27" s="1" t="str">
        <f ca="1">IFERROR(VLOOKUP($M27,База!$A:$BE,17,0),"")</f>
        <v/>
      </c>
      <c r="S27">
        <v>422</v>
      </c>
      <c r="U27" s="1" t="str">
        <f ca="1">IFERROR(VLOOKUP($S27,База!$A:$BE,10,0),"")</f>
        <v/>
      </c>
      <c r="V27" s="1" t="str">
        <f ca="1">IFERROR(VLOOKUP($S27,База!$A:$BE,13,0),"")</f>
        <v/>
      </c>
      <c r="W27" s="1" t="str">
        <f ca="1">IFERROR(VLOOKUP($S27,База!$A:$BE,16,0),"")</f>
        <v/>
      </c>
      <c r="X27" s="1" t="str">
        <f ca="1">IFERROR(VLOOKUP($S27,База!$A:$BE,17,0),"")</f>
        <v/>
      </c>
      <c r="Y27" s="5">
        <v>522</v>
      </c>
      <c r="AA27" s="1" t="str">
        <f ca="1">IFERROR(VLOOKUP($Y27,База!$A:$BE,10,0),"")</f>
        <v/>
      </c>
      <c r="AB27" s="1" t="str">
        <f ca="1">IFERROR(VLOOKUP($Y27,База!$A:$BE,13,0),"")</f>
        <v/>
      </c>
      <c r="AC27" s="1" t="str">
        <f ca="1">IFERROR(VLOOKUP($Y27,База!$A:$BE,16,0),"")</f>
        <v/>
      </c>
      <c r="AD27" s="1" t="str">
        <f ca="1">IFERROR(VLOOKUP($Y27,База!$A:$BE,17,0),"")</f>
        <v/>
      </c>
      <c r="AE27" s="5">
        <v>622</v>
      </c>
      <c r="AG27" s="1" t="str">
        <f ca="1">IFERROR(VLOOKUP($AE27,База!$A:$BE,10,0),"")</f>
        <v/>
      </c>
      <c r="AH27" s="1" t="str">
        <f ca="1">IFERROR(VLOOKUP($AE27,База!$A:$BE,13,0),"")</f>
        <v/>
      </c>
      <c r="AI27" s="1" t="str">
        <f ca="1">IFERROR(VLOOKUP($AE27,База!$A:$BE,16,0),"")</f>
        <v/>
      </c>
      <c r="AJ27" s="1" t="str">
        <f ca="1">IFERROR(VLOOKUP($AE27,База!$A:$BE,17,0),"")</f>
        <v/>
      </c>
      <c r="AK27" s="5">
        <v>722</v>
      </c>
      <c r="AM27" s="1" t="str">
        <f ca="1">IFERROR(VLOOKUP($AK27,База!$A:$BE,10,0),"")</f>
        <v/>
      </c>
      <c r="AN27" s="1" t="str">
        <f ca="1">IFERROR(VLOOKUP($AK27,База!$A:$BE,13,0),"")</f>
        <v/>
      </c>
      <c r="AO27" s="1" t="str">
        <f ca="1">IFERROR(VLOOKUP($AK27,База!$A:$BE,16,0),"")</f>
        <v/>
      </c>
      <c r="AP27" s="1" t="str">
        <f ca="1">IFERROR(VLOOKUP($AK27,База!$A:$BE,17,0),"")</f>
        <v/>
      </c>
      <c r="AQ27" s="5">
        <v>822</v>
      </c>
      <c r="AS27" s="1" t="str">
        <f ca="1">IFERROR(VLOOKUP($AQ27,База!$A:$BE,10,0),"")</f>
        <v/>
      </c>
      <c r="AT27" s="1" t="str">
        <f ca="1">IFERROR(VLOOKUP($AQ27,База!$A:$BE,13,0),"")</f>
        <v/>
      </c>
      <c r="AU27" s="1" t="str">
        <f ca="1">IFERROR(VLOOKUP($AQ27,База!$A:$BE,16,0),"")</f>
        <v/>
      </c>
      <c r="AV27" s="1" t="str">
        <f ca="1">IFERROR(VLOOKUP($AQ27,База!$A:$BE,17,0),"")</f>
        <v/>
      </c>
    </row>
    <row r="28" spans="1:48" x14ac:dyDescent="0.25">
      <c r="A28" t="s">
        <v>29</v>
      </c>
      <c r="B28" s="1" t="str">
        <f ca="1">IFERROR(VLOOKUP($A28,База!$A:$BE,10,0),"")</f>
        <v/>
      </c>
      <c r="C28" s="1" t="str">
        <f ca="1">IFERROR(VLOOKUP($A28,База!$A:$BE,13,0),"")</f>
        <v/>
      </c>
      <c r="D28" s="1" t="str">
        <f ca="1">IFERROR(VLOOKUP($A28,База!$A:$BE,16,0),"")</f>
        <v/>
      </c>
      <c r="E28" s="1" t="str">
        <f ca="1">IFERROR(VLOOKUP($A28,База!$A:$BE,17,0),"")</f>
        <v/>
      </c>
      <c r="F28">
        <v>223</v>
      </c>
      <c r="I28" s="1" t="str">
        <f ca="1">IFERROR(VLOOKUP($F28,База!$A:$BE,10,0),"")</f>
        <v/>
      </c>
      <c r="J28" s="1" t="str">
        <f ca="1">IFERROR(VLOOKUP($F28,База!$A:$BE,13,0),"")</f>
        <v/>
      </c>
      <c r="K28" s="1" t="str">
        <f ca="1">IFERROR(VLOOKUP($F28,База!$A:$BE,16,0),"")</f>
        <v/>
      </c>
      <c r="L28" s="1" t="str">
        <f ca="1">IFERROR(VLOOKUP($F28,База!$A:$BE,17,0),"")</f>
        <v/>
      </c>
      <c r="M28">
        <v>323</v>
      </c>
      <c r="O28" s="1" t="str">
        <f ca="1">IFERROR(VLOOKUP($M28,База!$A:$BE,10,0),"")</f>
        <v/>
      </c>
      <c r="P28" s="1" t="str">
        <f ca="1">IFERROR(VLOOKUP($M28,База!$A:$BE,13,0),"")</f>
        <v/>
      </c>
      <c r="Q28" s="1" t="str">
        <f ca="1">IFERROR(VLOOKUP($M28,База!$A:$BE,16,0),"")</f>
        <v/>
      </c>
      <c r="R28" s="1" t="str">
        <f ca="1">IFERROR(VLOOKUP($M28,База!$A:$BE,17,0),"")</f>
        <v/>
      </c>
      <c r="S28">
        <v>423</v>
      </c>
      <c r="U28" s="1" t="str">
        <f ca="1">IFERROR(VLOOKUP($S28,База!$A:$BE,10,0),"")</f>
        <v/>
      </c>
      <c r="V28" s="1" t="str">
        <f ca="1">IFERROR(VLOOKUP($S28,База!$A:$BE,13,0),"")</f>
        <v/>
      </c>
      <c r="W28" s="1" t="str">
        <f ca="1">IFERROR(VLOOKUP($S28,База!$A:$BE,16,0),"")</f>
        <v/>
      </c>
      <c r="X28" s="1" t="str">
        <f ca="1">IFERROR(VLOOKUP($S28,База!$A:$BE,17,0),"")</f>
        <v/>
      </c>
      <c r="Y28" s="5">
        <v>523</v>
      </c>
      <c r="AA28" s="1" t="str">
        <f ca="1">IFERROR(VLOOKUP($Y28,База!$A:$BE,10,0),"")</f>
        <v/>
      </c>
      <c r="AB28" s="1" t="str">
        <f ca="1">IFERROR(VLOOKUP($Y28,База!$A:$BE,13,0),"")</f>
        <v/>
      </c>
      <c r="AC28" s="1" t="str">
        <f ca="1">IFERROR(VLOOKUP($Y28,База!$A:$BE,16,0),"")</f>
        <v/>
      </c>
      <c r="AD28" s="1" t="str">
        <f ca="1">IFERROR(VLOOKUP($Y28,База!$A:$BE,17,0),"")</f>
        <v/>
      </c>
      <c r="AE28" s="5">
        <v>623</v>
      </c>
      <c r="AG28" s="1" t="str">
        <f ca="1">IFERROR(VLOOKUP($AE28,База!$A:$BE,10,0),"")</f>
        <v/>
      </c>
      <c r="AH28" s="1" t="str">
        <f ca="1">IFERROR(VLOOKUP($AE28,База!$A:$BE,13,0),"")</f>
        <v/>
      </c>
      <c r="AI28" s="1" t="str">
        <f ca="1">IFERROR(VLOOKUP($AE28,База!$A:$BE,16,0),"")</f>
        <v/>
      </c>
      <c r="AJ28" s="1" t="str">
        <f ca="1">IFERROR(VLOOKUP($AE28,База!$A:$BE,17,0),"")</f>
        <v/>
      </c>
      <c r="AK28" s="5">
        <v>723</v>
      </c>
      <c r="AM28" s="1" t="str">
        <f ca="1">IFERROR(VLOOKUP($AK28,База!$A:$BE,10,0),"")</f>
        <v/>
      </c>
      <c r="AN28" s="1" t="str">
        <f ca="1">IFERROR(VLOOKUP($AK28,База!$A:$BE,13,0),"")</f>
        <v/>
      </c>
      <c r="AO28" s="1" t="str">
        <f ca="1">IFERROR(VLOOKUP($AK28,База!$A:$BE,16,0),"")</f>
        <v/>
      </c>
      <c r="AP28" s="1" t="str">
        <f ca="1">IFERROR(VLOOKUP($AK28,База!$A:$BE,17,0),"")</f>
        <v/>
      </c>
      <c r="AQ28" s="5">
        <v>823</v>
      </c>
      <c r="AS28" s="1" t="str">
        <f ca="1">IFERROR(VLOOKUP($AQ28,База!$A:$BE,10,0),"")</f>
        <v/>
      </c>
      <c r="AT28" s="1" t="str">
        <f ca="1">IFERROR(VLOOKUP($AQ28,База!$A:$BE,13,0),"")</f>
        <v/>
      </c>
      <c r="AU28" s="1" t="str">
        <f ca="1">IFERROR(VLOOKUP($AQ28,База!$A:$BE,16,0),"")</f>
        <v/>
      </c>
      <c r="AV28" s="1" t="str">
        <f ca="1">IFERROR(VLOOKUP($AQ28,База!$A:$BE,17,0),"")</f>
        <v/>
      </c>
    </row>
    <row r="29" spans="1:48" x14ac:dyDescent="0.25">
      <c r="A29" t="s">
        <v>30</v>
      </c>
      <c r="B29" s="1" t="str">
        <f ca="1">IFERROR(VLOOKUP($A29,База!$A:$BE,10,0),"")</f>
        <v/>
      </c>
      <c r="C29" s="1" t="str">
        <f ca="1">IFERROR(VLOOKUP($A29,База!$A:$BE,13,0),"")</f>
        <v/>
      </c>
      <c r="D29" s="1" t="str">
        <f ca="1">IFERROR(VLOOKUP($A29,База!$A:$BE,16,0),"")</f>
        <v/>
      </c>
      <c r="E29" s="1" t="str">
        <f ca="1">IFERROR(VLOOKUP($A29,База!$A:$BE,17,0),"")</f>
        <v/>
      </c>
      <c r="F29">
        <v>224</v>
      </c>
      <c r="I29" s="1" t="str">
        <f ca="1">IFERROR(VLOOKUP($F29,База!$A:$BE,10,0),"")</f>
        <v/>
      </c>
      <c r="J29" s="1" t="str">
        <f ca="1">IFERROR(VLOOKUP($F29,База!$A:$BE,13,0),"")</f>
        <v/>
      </c>
      <c r="K29" s="1" t="str">
        <f ca="1">IFERROR(VLOOKUP($F29,База!$A:$BE,16,0),"")</f>
        <v/>
      </c>
      <c r="L29" s="1" t="str">
        <f ca="1">IFERROR(VLOOKUP($F29,База!$A:$BE,17,0),"")</f>
        <v/>
      </c>
      <c r="M29">
        <v>324</v>
      </c>
      <c r="O29" s="1" t="str">
        <f ca="1">IFERROR(VLOOKUP($M29,База!$A:$BE,10,0),"")</f>
        <v/>
      </c>
      <c r="P29" s="1" t="str">
        <f ca="1">IFERROR(VLOOKUP($M29,База!$A:$BE,13,0),"")</f>
        <v/>
      </c>
      <c r="Q29" s="1" t="str">
        <f ca="1">IFERROR(VLOOKUP($M29,База!$A:$BE,16,0),"")</f>
        <v/>
      </c>
      <c r="R29" s="1" t="str">
        <f ca="1">IFERROR(VLOOKUP($M29,База!$A:$BE,17,0),"")</f>
        <v/>
      </c>
      <c r="S29">
        <v>424</v>
      </c>
      <c r="U29" s="1" t="str">
        <f ca="1">IFERROR(VLOOKUP($S29,База!$A:$BE,10,0),"")</f>
        <v/>
      </c>
      <c r="V29" s="1" t="str">
        <f ca="1">IFERROR(VLOOKUP($S29,База!$A:$BE,13,0),"")</f>
        <v/>
      </c>
      <c r="W29" s="1" t="str">
        <f ca="1">IFERROR(VLOOKUP($S29,База!$A:$BE,16,0),"")</f>
        <v/>
      </c>
      <c r="X29" s="1" t="str">
        <f ca="1">IFERROR(VLOOKUP($S29,База!$A:$BE,17,0),"")</f>
        <v/>
      </c>
      <c r="Y29" s="5">
        <v>524</v>
      </c>
      <c r="AA29" s="1" t="str">
        <f ca="1">IFERROR(VLOOKUP($Y29,База!$A:$BE,10,0),"")</f>
        <v/>
      </c>
      <c r="AB29" s="1" t="str">
        <f ca="1">IFERROR(VLOOKUP($Y29,База!$A:$BE,13,0),"")</f>
        <v/>
      </c>
      <c r="AC29" s="1" t="str">
        <f ca="1">IFERROR(VLOOKUP($Y29,База!$A:$BE,16,0),"")</f>
        <v/>
      </c>
      <c r="AD29" s="1" t="str">
        <f ca="1">IFERROR(VLOOKUP($Y29,База!$A:$BE,17,0),"")</f>
        <v/>
      </c>
      <c r="AE29" s="5">
        <v>624</v>
      </c>
      <c r="AG29" s="1" t="str">
        <f ca="1">IFERROR(VLOOKUP($AE29,База!$A:$BE,10,0),"")</f>
        <v/>
      </c>
      <c r="AH29" s="1" t="str">
        <f ca="1">IFERROR(VLOOKUP($AE29,База!$A:$BE,13,0),"")</f>
        <v/>
      </c>
      <c r="AI29" s="1" t="str">
        <f ca="1">IFERROR(VLOOKUP($AE29,База!$A:$BE,16,0),"")</f>
        <v/>
      </c>
      <c r="AJ29" s="1" t="str">
        <f ca="1">IFERROR(VLOOKUP($AE29,База!$A:$BE,17,0),"")</f>
        <v/>
      </c>
      <c r="AK29" s="5">
        <v>724</v>
      </c>
      <c r="AM29" s="1" t="str">
        <f ca="1">IFERROR(VLOOKUP($AK29,База!$A:$BE,10,0),"")</f>
        <v/>
      </c>
      <c r="AN29" s="1" t="str">
        <f ca="1">IFERROR(VLOOKUP($AK29,База!$A:$BE,13,0),"")</f>
        <v/>
      </c>
      <c r="AO29" s="1" t="str">
        <f ca="1">IFERROR(VLOOKUP($AK29,База!$A:$BE,16,0),"")</f>
        <v/>
      </c>
      <c r="AP29" s="1" t="str">
        <f ca="1">IFERROR(VLOOKUP($AK29,База!$A:$BE,17,0),"")</f>
        <v/>
      </c>
      <c r="AQ29" s="5">
        <v>824</v>
      </c>
      <c r="AS29" s="1" t="str">
        <f ca="1">IFERROR(VLOOKUP($AQ29,База!$A:$BE,10,0),"")</f>
        <v/>
      </c>
      <c r="AT29" s="1" t="str">
        <f ca="1">IFERROR(VLOOKUP($AQ29,База!$A:$BE,13,0),"")</f>
        <v/>
      </c>
      <c r="AU29" s="1" t="str">
        <f ca="1">IFERROR(VLOOKUP($AQ29,База!$A:$BE,16,0),"")</f>
        <v/>
      </c>
      <c r="AV29" s="1" t="str">
        <f ca="1">IFERROR(VLOOKUP($AQ29,База!$A:$BE,17,0),"")</f>
        <v/>
      </c>
    </row>
    <row r="30" spans="1:48" x14ac:dyDescent="0.25">
      <c r="A30" t="s">
        <v>31</v>
      </c>
      <c r="B30" s="1" t="str">
        <f ca="1">IFERROR(VLOOKUP($A30,База!$A:$BE,10,0),"")</f>
        <v/>
      </c>
      <c r="C30" s="1" t="str">
        <f ca="1">IFERROR(VLOOKUP($A30,База!$A:$BE,13,0),"")</f>
        <v/>
      </c>
      <c r="D30" s="1" t="str">
        <f ca="1">IFERROR(VLOOKUP($A30,База!$A:$BE,16,0),"")</f>
        <v/>
      </c>
      <c r="E30" s="1" t="str">
        <f ca="1">IFERROR(VLOOKUP($A30,База!$A:$BE,17,0),"")</f>
        <v/>
      </c>
      <c r="F30">
        <v>225</v>
      </c>
      <c r="I30" s="1" t="str">
        <f ca="1">IFERROR(VLOOKUP($F30,База!$A:$BE,10,0),"")</f>
        <v/>
      </c>
      <c r="J30" s="1" t="str">
        <f ca="1">IFERROR(VLOOKUP($F30,База!$A:$BE,13,0),"")</f>
        <v/>
      </c>
      <c r="K30" s="1" t="str">
        <f ca="1">IFERROR(VLOOKUP($F30,База!$A:$BE,16,0),"")</f>
        <v/>
      </c>
      <c r="L30" s="1" t="str">
        <f ca="1">IFERROR(VLOOKUP($F30,База!$A:$BE,17,0),"")</f>
        <v/>
      </c>
      <c r="M30">
        <v>325</v>
      </c>
      <c r="O30" s="1" t="str">
        <f ca="1">IFERROR(VLOOKUP($M30,База!$A:$BE,10,0),"")</f>
        <v/>
      </c>
      <c r="P30" s="1" t="str">
        <f ca="1">IFERROR(VLOOKUP($M30,База!$A:$BE,13,0),"")</f>
        <v/>
      </c>
      <c r="Q30" s="1" t="str">
        <f ca="1">IFERROR(VLOOKUP($M30,База!$A:$BE,16,0),"")</f>
        <v/>
      </c>
      <c r="R30" s="1" t="str">
        <f ca="1">IFERROR(VLOOKUP($M30,База!$A:$BE,17,0),"")</f>
        <v/>
      </c>
      <c r="S30">
        <v>425</v>
      </c>
      <c r="U30" s="1" t="str">
        <f ca="1">IFERROR(VLOOKUP($S30,База!$A:$BE,10,0),"")</f>
        <v/>
      </c>
      <c r="V30" s="1" t="str">
        <f ca="1">IFERROR(VLOOKUP($S30,База!$A:$BE,13,0),"")</f>
        <v/>
      </c>
      <c r="W30" s="1" t="str">
        <f ca="1">IFERROR(VLOOKUP($S30,База!$A:$BE,16,0),"")</f>
        <v/>
      </c>
      <c r="X30" s="1" t="str">
        <f ca="1">IFERROR(VLOOKUP($S30,База!$A:$BE,17,0),"")</f>
        <v/>
      </c>
      <c r="Y30" s="5">
        <v>525</v>
      </c>
      <c r="AA30" s="1" t="str">
        <f ca="1">IFERROR(VLOOKUP($Y30,База!$A:$BE,10,0),"")</f>
        <v/>
      </c>
      <c r="AB30" s="1" t="str">
        <f ca="1">IFERROR(VLOOKUP($Y30,База!$A:$BE,13,0),"")</f>
        <v/>
      </c>
      <c r="AC30" s="1" t="str">
        <f ca="1">IFERROR(VLOOKUP($Y30,База!$A:$BE,16,0),"")</f>
        <v/>
      </c>
      <c r="AD30" s="1" t="str">
        <f ca="1">IFERROR(VLOOKUP($Y30,База!$A:$BE,17,0),"")</f>
        <v/>
      </c>
      <c r="AE30" s="5">
        <v>625</v>
      </c>
      <c r="AG30" s="1" t="str">
        <f ca="1">IFERROR(VLOOKUP($AE30,База!$A:$BE,10,0),"")</f>
        <v/>
      </c>
      <c r="AH30" s="1" t="str">
        <f ca="1">IFERROR(VLOOKUP($AE30,База!$A:$BE,13,0),"")</f>
        <v/>
      </c>
      <c r="AI30" s="1" t="str">
        <f ca="1">IFERROR(VLOOKUP($AE30,База!$A:$BE,16,0),"")</f>
        <v/>
      </c>
      <c r="AJ30" s="1" t="str">
        <f ca="1">IFERROR(VLOOKUP($AE30,База!$A:$BE,17,0),"")</f>
        <v/>
      </c>
      <c r="AK30" s="5">
        <v>725</v>
      </c>
      <c r="AM30" s="1" t="str">
        <f ca="1">IFERROR(VLOOKUP($AK30,База!$A:$BE,10,0),"")</f>
        <v/>
      </c>
      <c r="AN30" s="1" t="str">
        <f ca="1">IFERROR(VLOOKUP($AK30,База!$A:$BE,13,0),"")</f>
        <v/>
      </c>
      <c r="AO30" s="1" t="str">
        <f ca="1">IFERROR(VLOOKUP($AK30,База!$A:$BE,16,0),"")</f>
        <v/>
      </c>
      <c r="AP30" s="1" t="str">
        <f ca="1">IFERROR(VLOOKUP($AK30,База!$A:$BE,17,0),"")</f>
        <v/>
      </c>
      <c r="AQ30" s="5">
        <v>825</v>
      </c>
      <c r="AS30" s="1" t="str">
        <f ca="1">IFERROR(VLOOKUP($AQ30,База!$A:$BE,10,0),"")</f>
        <v/>
      </c>
      <c r="AT30" s="1" t="str">
        <f ca="1">IFERROR(VLOOKUP($AQ30,База!$A:$BE,13,0),"")</f>
        <v/>
      </c>
      <c r="AU30" s="1" t="str">
        <f ca="1">IFERROR(VLOOKUP($AQ30,База!$A:$BE,16,0),"")</f>
        <v/>
      </c>
      <c r="AV30" s="1" t="str">
        <f ca="1">IFERROR(VLOOKUP($AQ30,База!$A:$BE,17,0),"")</f>
        <v/>
      </c>
    </row>
    <row r="31" spans="1:48" x14ac:dyDescent="0.25">
      <c r="A31" t="s">
        <v>32</v>
      </c>
      <c r="B31" s="1" t="str">
        <f ca="1">IFERROR(VLOOKUP($A31,База!$A:$BE,10,0),"")</f>
        <v/>
      </c>
      <c r="C31" s="1" t="str">
        <f ca="1">IFERROR(VLOOKUP($A31,База!$A:$BE,13,0),"")</f>
        <v/>
      </c>
      <c r="D31" s="1" t="str">
        <f ca="1">IFERROR(VLOOKUP($A31,База!$A:$BE,16,0),"")</f>
        <v/>
      </c>
      <c r="E31" s="1" t="str">
        <f ca="1">IFERROR(VLOOKUP($A31,База!$A:$BE,17,0),"")</f>
        <v/>
      </c>
      <c r="F31">
        <v>226</v>
      </c>
      <c r="I31" s="1" t="str">
        <f ca="1">IFERROR(VLOOKUP($F31,База!$A:$BE,10,0),"")</f>
        <v/>
      </c>
      <c r="J31" s="1" t="str">
        <f ca="1">IFERROR(VLOOKUP($F31,База!$A:$BE,13,0),"")</f>
        <v/>
      </c>
      <c r="K31" s="1" t="str">
        <f ca="1">IFERROR(VLOOKUP($F31,База!$A:$BE,16,0),"")</f>
        <v/>
      </c>
      <c r="L31" s="1" t="str">
        <f ca="1">IFERROR(VLOOKUP($F31,База!$A:$BE,17,0),"")</f>
        <v/>
      </c>
      <c r="M31">
        <v>326</v>
      </c>
      <c r="O31" s="1" t="str">
        <f ca="1">IFERROR(VLOOKUP($M31,База!$A:$BE,10,0),"")</f>
        <v/>
      </c>
      <c r="P31" s="1" t="str">
        <f ca="1">IFERROR(VLOOKUP($M31,База!$A:$BE,13,0),"")</f>
        <v/>
      </c>
      <c r="Q31" s="1" t="str">
        <f ca="1">IFERROR(VLOOKUP($M31,База!$A:$BE,16,0),"")</f>
        <v/>
      </c>
      <c r="R31" s="1" t="str">
        <f ca="1">IFERROR(VLOOKUP($M31,База!$A:$BE,17,0),"")</f>
        <v/>
      </c>
      <c r="S31">
        <v>426</v>
      </c>
      <c r="U31" s="1" t="str">
        <f ca="1">IFERROR(VLOOKUP($S31,База!$A:$BE,10,0),"")</f>
        <v/>
      </c>
      <c r="V31" s="1" t="str">
        <f ca="1">IFERROR(VLOOKUP($S31,База!$A:$BE,13,0),"")</f>
        <v/>
      </c>
      <c r="W31" s="1" t="str">
        <f ca="1">IFERROR(VLOOKUP($S31,База!$A:$BE,16,0),"")</f>
        <v/>
      </c>
      <c r="X31" s="1" t="str">
        <f ca="1">IFERROR(VLOOKUP($S31,База!$A:$BE,17,0),"")</f>
        <v/>
      </c>
      <c r="Y31" s="5">
        <v>526</v>
      </c>
      <c r="AA31" s="1" t="str">
        <f ca="1">IFERROR(VLOOKUP($Y31,База!$A:$BE,10,0),"")</f>
        <v/>
      </c>
      <c r="AB31" s="1" t="str">
        <f ca="1">IFERROR(VLOOKUP($Y31,База!$A:$BE,13,0),"")</f>
        <v/>
      </c>
      <c r="AC31" s="1" t="str">
        <f ca="1">IFERROR(VLOOKUP($Y31,База!$A:$BE,16,0),"")</f>
        <v/>
      </c>
      <c r="AD31" s="1" t="str">
        <f ca="1">IFERROR(VLOOKUP($Y31,База!$A:$BE,17,0),"")</f>
        <v/>
      </c>
      <c r="AE31" s="5">
        <v>626</v>
      </c>
      <c r="AG31" s="1" t="str">
        <f ca="1">IFERROR(VLOOKUP($AE31,База!$A:$BE,10,0),"")</f>
        <v/>
      </c>
      <c r="AH31" s="1" t="str">
        <f ca="1">IFERROR(VLOOKUP($AE31,База!$A:$BE,13,0),"")</f>
        <v/>
      </c>
      <c r="AI31" s="1" t="str">
        <f ca="1">IFERROR(VLOOKUP($AE31,База!$A:$BE,16,0),"")</f>
        <v/>
      </c>
      <c r="AJ31" s="1" t="str">
        <f ca="1">IFERROR(VLOOKUP($AE31,База!$A:$BE,17,0),"")</f>
        <v/>
      </c>
      <c r="AK31" s="5">
        <v>726</v>
      </c>
      <c r="AM31" s="1" t="str">
        <f ca="1">IFERROR(VLOOKUP($AK31,База!$A:$BE,10,0),"")</f>
        <v/>
      </c>
      <c r="AN31" s="1" t="str">
        <f ca="1">IFERROR(VLOOKUP($AK31,База!$A:$BE,13,0),"")</f>
        <v/>
      </c>
      <c r="AO31" s="1" t="str">
        <f ca="1">IFERROR(VLOOKUP($AK31,База!$A:$BE,16,0),"")</f>
        <v/>
      </c>
      <c r="AP31" s="1" t="str">
        <f ca="1">IFERROR(VLOOKUP($AK31,База!$A:$BE,17,0),"")</f>
        <v/>
      </c>
      <c r="AQ31" s="5">
        <v>826</v>
      </c>
      <c r="AS31" s="1" t="str">
        <f ca="1">IFERROR(VLOOKUP($AQ31,База!$A:$BE,10,0),"")</f>
        <v/>
      </c>
      <c r="AT31" s="1" t="str">
        <f ca="1">IFERROR(VLOOKUP($AQ31,База!$A:$BE,13,0),"")</f>
        <v/>
      </c>
      <c r="AU31" s="1" t="str">
        <f ca="1">IFERROR(VLOOKUP($AQ31,База!$A:$BE,16,0),"")</f>
        <v/>
      </c>
      <c r="AV31" s="1" t="str">
        <f ca="1">IFERROR(VLOOKUP($AQ31,База!$A:$BE,17,0),"")</f>
        <v/>
      </c>
    </row>
    <row r="32" spans="1:48" x14ac:dyDescent="0.25">
      <c r="A32" t="s">
        <v>33</v>
      </c>
      <c r="B32" s="1" t="str">
        <f ca="1">IFERROR(VLOOKUP($A32,База!$A:$BE,10,0),"")</f>
        <v/>
      </c>
      <c r="C32" s="1" t="str">
        <f ca="1">IFERROR(VLOOKUP($A32,База!$A:$BE,13,0),"")</f>
        <v/>
      </c>
      <c r="D32" s="1" t="str">
        <f ca="1">IFERROR(VLOOKUP($A32,База!$A:$BE,16,0),"")</f>
        <v/>
      </c>
      <c r="E32" s="1" t="str">
        <f ca="1">IFERROR(VLOOKUP($A32,База!$A:$BE,17,0),"")</f>
        <v/>
      </c>
      <c r="F32">
        <v>227</v>
      </c>
      <c r="I32" s="1" t="str">
        <f ca="1">IFERROR(VLOOKUP($F32,База!$A:$BE,10,0),"")</f>
        <v/>
      </c>
      <c r="J32" s="1" t="str">
        <f ca="1">IFERROR(VLOOKUP($F32,База!$A:$BE,13,0),"")</f>
        <v/>
      </c>
      <c r="K32" s="1" t="str">
        <f ca="1">IFERROR(VLOOKUP($F32,База!$A:$BE,16,0),"")</f>
        <v/>
      </c>
      <c r="L32" s="1" t="str">
        <f ca="1">IFERROR(VLOOKUP($F32,База!$A:$BE,17,0),"")</f>
        <v/>
      </c>
      <c r="M32">
        <v>327</v>
      </c>
      <c r="O32" s="1" t="str">
        <f ca="1">IFERROR(VLOOKUP($M32,База!$A:$BE,10,0),"")</f>
        <v/>
      </c>
      <c r="P32" s="1" t="str">
        <f ca="1">IFERROR(VLOOKUP($M32,База!$A:$BE,13,0),"")</f>
        <v/>
      </c>
      <c r="Q32" s="1" t="str">
        <f ca="1">IFERROR(VLOOKUP($M32,База!$A:$BE,16,0),"")</f>
        <v/>
      </c>
      <c r="R32" s="1" t="str">
        <f ca="1">IFERROR(VLOOKUP($M32,База!$A:$BE,17,0),"")</f>
        <v/>
      </c>
      <c r="S32">
        <v>427</v>
      </c>
      <c r="U32" s="1" t="str">
        <f ca="1">IFERROR(VLOOKUP($S32,База!$A:$BE,10,0),"")</f>
        <v/>
      </c>
      <c r="V32" s="1" t="str">
        <f ca="1">IFERROR(VLOOKUP($S32,База!$A:$BE,13,0),"")</f>
        <v/>
      </c>
      <c r="W32" s="1" t="str">
        <f ca="1">IFERROR(VLOOKUP($S32,База!$A:$BE,16,0),"")</f>
        <v/>
      </c>
      <c r="X32" s="1" t="str">
        <f ca="1">IFERROR(VLOOKUP($S32,База!$A:$BE,17,0),"")</f>
        <v/>
      </c>
      <c r="Y32" s="5">
        <v>527</v>
      </c>
      <c r="AA32" s="1" t="str">
        <f ca="1">IFERROR(VLOOKUP($Y32,База!$A:$BE,10,0),"")</f>
        <v/>
      </c>
      <c r="AB32" s="1" t="str">
        <f ca="1">IFERROR(VLOOKUP($Y32,База!$A:$BE,13,0),"")</f>
        <v/>
      </c>
      <c r="AC32" s="1" t="str">
        <f ca="1">IFERROR(VLOOKUP($Y32,База!$A:$BE,16,0),"")</f>
        <v/>
      </c>
      <c r="AD32" s="1" t="str">
        <f ca="1">IFERROR(VLOOKUP($Y32,База!$A:$BE,17,0),"")</f>
        <v/>
      </c>
      <c r="AE32" s="5">
        <v>627</v>
      </c>
      <c r="AG32" s="1" t="str">
        <f ca="1">IFERROR(VLOOKUP($AE32,База!$A:$BE,10,0),"")</f>
        <v/>
      </c>
      <c r="AH32" s="1" t="str">
        <f ca="1">IFERROR(VLOOKUP($AE32,База!$A:$BE,13,0),"")</f>
        <v/>
      </c>
      <c r="AI32" s="1" t="str">
        <f ca="1">IFERROR(VLOOKUP($AE32,База!$A:$BE,16,0),"")</f>
        <v/>
      </c>
      <c r="AJ32" s="1" t="str">
        <f ca="1">IFERROR(VLOOKUP($AE32,База!$A:$BE,17,0),"")</f>
        <v/>
      </c>
      <c r="AK32" s="5">
        <v>727</v>
      </c>
      <c r="AM32" s="1" t="str">
        <f ca="1">IFERROR(VLOOKUP($AK32,База!$A:$BE,10,0),"")</f>
        <v/>
      </c>
      <c r="AN32" s="1" t="str">
        <f ca="1">IFERROR(VLOOKUP($AK32,База!$A:$BE,13,0),"")</f>
        <v/>
      </c>
      <c r="AO32" s="1" t="str">
        <f ca="1">IFERROR(VLOOKUP($AK32,База!$A:$BE,16,0),"")</f>
        <v/>
      </c>
      <c r="AP32" s="1" t="str">
        <f ca="1">IFERROR(VLOOKUP($AK32,База!$A:$BE,17,0),"")</f>
        <v/>
      </c>
      <c r="AQ32" s="5">
        <v>827</v>
      </c>
      <c r="AS32" s="1" t="str">
        <f ca="1">IFERROR(VLOOKUP($AQ32,База!$A:$BE,10,0),"")</f>
        <v/>
      </c>
      <c r="AT32" s="1" t="str">
        <f ca="1">IFERROR(VLOOKUP($AQ32,База!$A:$BE,13,0),"")</f>
        <v/>
      </c>
      <c r="AU32" s="1" t="str">
        <f ca="1">IFERROR(VLOOKUP($AQ32,База!$A:$BE,16,0),"")</f>
        <v/>
      </c>
      <c r="AV32" s="1" t="str">
        <f ca="1">IFERROR(VLOOKUP($AQ32,База!$A:$BE,17,0),"")</f>
        <v/>
      </c>
    </row>
    <row r="33" spans="1:48" x14ac:dyDescent="0.25">
      <c r="A33" t="s">
        <v>34</v>
      </c>
      <c r="B33" s="1" t="str">
        <f ca="1">IFERROR(VLOOKUP($A33,База!$A:$BE,10,0),"")</f>
        <v/>
      </c>
      <c r="C33" s="1" t="str">
        <f ca="1">IFERROR(VLOOKUP($A33,База!$A:$BE,13,0),"")</f>
        <v/>
      </c>
      <c r="D33" s="1" t="str">
        <f ca="1">IFERROR(VLOOKUP($A33,База!$A:$BE,16,0),"")</f>
        <v/>
      </c>
      <c r="E33" s="1" t="str">
        <f ca="1">IFERROR(VLOOKUP($A33,База!$A:$BE,17,0),"")</f>
        <v/>
      </c>
      <c r="F33">
        <v>228</v>
      </c>
      <c r="I33" s="1" t="str">
        <f ca="1">IFERROR(VLOOKUP($F33,База!$A:$BE,10,0),"")</f>
        <v/>
      </c>
      <c r="J33" s="1" t="str">
        <f ca="1">IFERROR(VLOOKUP($F33,База!$A:$BE,13,0),"")</f>
        <v/>
      </c>
      <c r="K33" s="1" t="str">
        <f ca="1">IFERROR(VLOOKUP($F33,База!$A:$BE,16,0),"")</f>
        <v/>
      </c>
      <c r="L33" s="1" t="str">
        <f ca="1">IFERROR(VLOOKUP($F33,База!$A:$BE,17,0),"")</f>
        <v/>
      </c>
      <c r="M33">
        <v>328</v>
      </c>
      <c r="O33" s="1" t="str">
        <f ca="1">IFERROR(VLOOKUP($M33,База!$A:$BE,10,0),"")</f>
        <v/>
      </c>
      <c r="P33" s="1" t="str">
        <f ca="1">IFERROR(VLOOKUP($M33,База!$A:$BE,13,0),"")</f>
        <v/>
      </c>
      <c r="Q33" s="1" t="str">
        <f ca="1">IFERROR(VLOOKUP($M33,База!$A:$BE,16,0),"")</f>
        <v/>
      </c>
      <c r="R33" s="1" t="str">
        <f ca="1">IFERROR(VLOOKUP($M33,База!$A:$BE,17,0),"")</f>
        <v/>
      </c>
      <c r="S33">
        <v>428</v>
      </c>
      <c r="U33" s="1" t="str">
        <f ca="1">IFERROR(VLOOKUP($S33,База!$A:$BE,10,0),"")</f>
        <v/>
      </c>
      <c r="V33" s="1" t="str">
        <f ca="1">IFERROR(VLOOKUP($S33,База!$A:$BE,13,0),"")</f>
        <v/>
      </c>
      <c r="W33" s="1" t="str">
        <f ca="1">IFERROR(VLOOKUP($S33,База!$A:$BE,16,0),"")</f>
        <v/>
      </c>
      <c r="X33" s="1" t="str">
        <f ca="1">IFERROR(VLOOKUP($S33,База!$A:$BE,17,0),"")</f>
        <v/>
      </c>
      <c r="Y33" s="5">
        <v>528</v>
      </c>
      <c r="AA33" s="1" t="str">
        <f ca="1">IFERROR(VLOOKUP($Y33,База!$A:$BE,10,0),"")</f>
        <v/>
      </c>
      <c r="AB33" s="1" t="str">
        <f ca="1">IFERROR(VLOOKUP($Y33,База!$A:$BE,13,0),"")</f>
        <v/>
      </c>
      <c r="AC33" s="1" t="str">
        <f ca="1">IFERROR(VLOOKUP($Y33,База!$A:$BE,16,0),"")</f>
        <v/>
      </c>
      <c r="AD33" s="1" t="str">
        <f ca="1">IFERROR(VLOOKUP($Y33,База!$A:$BE,17,0),"")</f>
        <v/>
      </c>
      <c r="AE33" s="5">
        <v>628</v>
      </c>
      <c r="AG33" s="1" t="str">
        <f ca="1">IFERROR(VLOOKUP($AE33,База!$A:$BE,10,0),"")</f>
        <v/>
      </c>
      <c r="AH33" s="1" t="str">
        <f ca="1">IFERROR(VLOOKUP($AE33,База!$A:$BE,13,0),"")</f>
        <v/>
      </c>
      <c r="AI33" s="1" t="str">
        <f ca="1">IFERROR(VLOOKUP($AE33,База!$A:$BE,16,0),"")</f>
        <v/>
      </c>
      <c r="AJ33" s="1" t="str">
        <f ca="1">IFERROR(VLOOKUP($AE33,База!$A:$BE,17,0),"")</f>
        <v/>
      </c>
      <c r="AK33" s="5">
        <v>728</v>
      </c>
      <c r="AM33" s="1" t="str">
        <f ca="1">IFERROR(VLOOKUP($AK33,База!$A:$BE,10,0),"")</f>
        <v/>
      </c>
      <c r="AN33" s="1" t="str">
        <f ca="1">IFERROR(VLOOKUP($AK33,База!$A:$BE,13,0),"")</f>
        <v/>
      </c>
      <c r="AO33" s="1" t="str">
        <f ca="1">IFERROR(VLOOKUP($AK33,База!$A:$BE,16,0),"")</f>
        <v/>
      </c>
      <c r="AP33" s="1" t="str">
        <f ca="1">IFERROR(VLOOKUP($AK33,База!$A:$BE,17,0),"")</f>
        <v/>
      </c>
      <c r="AQ33" s="5">
        <v>828</v>
      </c>
      <c r="AS33" s="1" t="str">
        <f ca="1">IFERROR(VLOOKUP($AQ33,База!$A:$BE,10,0),"")</f>
        <v/>
      </c>
      <c r="AT33" s="1" t="str">
        <f ca="1">IFERROR(VLOOKUP($AQ33,База!$A:$BE,13,0),"")</f>
        <v/>
      </c>
      <c r="AU33" s="1" t="str">
        <f ca="1">IFERROR(VLOOKUP($AQ33,База!$A:$BE,16,0),"")</f>
        <v/>
      </c>
      <c r="AV33" s="1" t="str">
        <f ca="1">IFERROR(VLOOKUP($AQ33,База!$A:$BE,17,0),"")</f>
        <v/>
      </c>
    </row>
    <row r="34" spans="1:48" x14ac:dyDescent="0.25">
      <c r="A34" t="s">
        <v>35</v>
      </c>
      <c r="B34" s="1" t="str">
        <f ca="1">IFERROR(VLOOKUP($A34,База!$A:$BE,10,0),"")</f>
        <v/>
      </c>
      <c r="C34" s="1" t="str">
        <f ca="1">IFERROR(VLOOKUP($A34,База!$A:$BE,13,0),"")</f>
        <v/>
      </c>
      <c r="D34" s="1" t="str">
        <f ca="1">IFERROR(VLOOKUP($A34,База!$A:$BE,16,0),"")</f>
        <v/>
      </c>
      <c r="E34" s="1" t="str">
        <f ca="1">IFERROR(VLOOKUP($A34,База!$A:$BE,17,0),"")</f>
        <v/>
      </c>
      <c r="F34">
        <v>229</v>
      </c>
      <c r="I34" s="1" t="str">
        <f ca="1">IFERROR(VLOOKUP($F34,База!$A:$BE,10,0),"")</f>
        <v/>
      </c>
      <c r="J34" s="1" t="str">
        <f ca="1">IFERROR(VLOOKUP($F34,База!$A:$BE,13,0),"")</f>
        <v/>
      </c>
      <c r="K34" s="1" t="str">
        <f ca="1">IFERROR(VLOOKUP($F34,База!$A:$BE,16,0),"")</f>
        <v/>
      </c>
      <c r="L34" s="1" t="str">
        <f ca="1">IFERROR(VLOOKUP($F34,База!$A:$BE,17,0),"")</f>
        <v/>
      </c>
      <c r="M34">
        <v>329</v>
      </c>
      <c r="O34" s="1" t="str">
        <f ca="1">IFERROR(VLOOKUP($M34,База!$A:$BE,10,0),"")</f>
        <v/>
      </c>
      <c r="P34" s="1" t="str">
        <f ca="1">IFERROR(VLOOKUP($M34,База!$A:$BE,13,0),"")</f>
        <v/>
      </c>
      <c r="Q34" s="1" t="str">
        <f ca="1">IFERROR(VLOOKUP($M34,База!$A:$BE,16,0),"")</f>
        <v/>
      </c>
      <c r="R34" s="1" t="str">
        <f ca="1">IFERROR(VLOOKUP($M34,База!$A:$BE,17,0),"")</f>
        <v/>
      </c>
      <c r="S34">
        <v>429</v>
      </c>
      <c r="U34" s="1" t="str">
        <f ca="1">IFERROR(VLOOKUP($S34,База!$A:$BE,10,0),"")</f>
        <v/>
      </c>
      <c r="V34" s="1" t="str">
        <f ca="1">IFERROR(VLOOKUP($S34,База!$A:$BE,13,0),"")</f>
        <v/>
      </c>
      <c r="W34" s="1" t="str">
        <f ca="1">IFERROR(VLOOKUP($S34,База!$A:$BE,16,0),"")</f>
        <v/>
      </c>
      <c r="X34" s="1" t="str">
        <f ca="1">IFERROR(VLOOKUP($S34,База!$A:$BE,17,0),"")</f>
        <v/>
      </c>
      <c r="Y34" s="5">
        <v>529</v>
      </c>
      <c r="AA34" s="1" t="str">
        <f ca="1">IFERROR(VLOOKUP($Y34,База!$A:$BE,10,0),"")</f>
        <v/>
      </c>
      <c r="AB34" s="1" t="str">
        <f ca="1">IFERROR(VLOOKUP($Y34,База!$A:$BE,13,0),"")</f>
        <v/>
      </c>
      <c r="AC34" s="1" t="str">
        <f ca="1">IFERROR(VLOOKUP($Y34,База!$A:$BE,16,0),"")</f>
        <v/>
      </c>
      <c r="AD34" s="1" t="str">
        <f ca="1">IFERROR(VLOOKUP($Y34,База!$A:$BE,17,0),"")</f>
        <v/>
      </c>
      <c r="AE34" s="5">
        <v>629</v>
      </c>
      <c r="AG34" s="1" t="str">
        <f ca="1">IFERROR(VLOOKUP($AE34,База!$A:$BE,10,0),"")</f>
        <v/>
      </c>
      <c r="AH34" s="1" t="str">
        <f ca="1">IFERROR(VLOOKUP($AE34,База!$A:$BE,13,0),"")</f>
        <v/>
      </c>
      <c r="AI34" s="1" t="str">
        <f ca="1">IFERROR(VLOOKUP($AE34,База!$A:$BE,16,0),"")</f>
        <v/>
      </c>
      <c r="AJ34" s="1" t="str">
        <f ca="1">IFERROR(VLOOKUP($AE34,База!$A:$BE,17,0),"")</f>
        <v/>
      </c>
      <c r="AK34" s="5">
        <v>729</v>
      </c>
      <c r="AM34" s="1" t="str">
        <f ca="1">IFERROR(VLOOKUP($AK34,База!$A:$BE,10,0),"")</f>
        <v/>
      </c>
      <c r="AN34" s="1" t="str">
        <f ca="1">IFERROR(VLOOKUP($AK34,База!$A:$BE,13,0),"")</f>
        <v/>
      </c>
      <c r="AO34" s="1" t="str">
        <f ca="1">IFERROR(VLOOKUP($AK34,База!$A:$BE,16,0),"")</f>
        <v/>
      </c>
      <c r="AP34" s="1" t="str">
        <f ca="1">IFERROR(VLOOKUP($AK34,База!$A:$BE,17,0),"")</f>
        <v/>
      </c>
      <c r="AQ34" s="5">
        <v>829</v>
      </c>
      <c r="AS34" s="1" t="str">
        <f ca="1">IFERROR(VLOOKUP($AQ34,База!$A:$BE,10,0),"")</f>
        <v/>
      </c>
      <c r="AT34" s="1" t="str">
        <f ca="1">IFERROR(VLOOKUP($AQ34,База!$A:$BE,13,0),"")</f>
        <v/>
      </c>
      <c r="AU34" s="1" t="str">
        <f ca="1">IFERROR(VLOOKUP($AQ34,База!$A:$BE,16,0),"")</f>
        <v/>
      </c>
      <c r="AV34" s="1" t="str">
        <f ca="1">IFERROR(VLOOKUP($AQ34,База!$A:$BE,17,0),"")</f>
        <v/>
      </c>
    </row>
    <row r="35" spans="1:48" x14ac:dyDescent="0.25">
      <c r="A35" t="s">
        <v>36</v>
      </c>
      <c r="B35" s="1" t="str">
        <f ca="1">IFERROR(VLOOKUP($A35,База!$A:$BE,10,0),"")</f>
        <v/>
      </c>
      <c r="C35" s="1" t="str">
        <f ca="1">IFERROR(VLOOKUP($A35,База!$A:$BE,13,0),"")</f>
        <v/>
      </c>
      <c r="D35" s="1" t="str">
        <f ca="1">IFERROR(VLOOKUP($A35,База!$A:$BE,16,0),"")</f>
        <v/>
      </c>
      <c r="E35" s="1" t="str">
        <f ca="1">IFERROR(VLOOKUP($A35,База!$A:$BE,17,0),"")</f>
        <v/>
      </c>
      <c r="F35">
        <v>230</v>
      </c>
      <c r="I35" s="1" t="str">
        <f ca="1">IFERROR(VLOOKUP($F35,База!$A:$BE,10,0),"")</f>
        <v/>
      </c>
      <c r="J35" s="1" t="str">
        <f ca="1">IFERROR(VLOOKUP($F35,База!$A:$BE,13,0),"")</f>
        <v/>
      </c>
      <c r="K35" s="1" t="str">
        <f ca="1">IFERROR(VLOOKUP($F35,База!$A:$BE,16,0),"")</f>
        <v/>
      </c>
      <c r="L35" s="1" t="str">
        <f ca="1">IFERROR(VLOOKUP($F35,База!$A:$BE,17,0),"")</f>
        <v/>
      </c>
      <c r="M35">
        <v>330</v>
      </c>
      <c r="O35" s="1" t="str">
        <f ca="1">IFERROR(VLOOKUP($M35,База!$A:$BE,10,0),"")</f>
        <v/>
      </c>
      <c r="P35" s="1" t="str">
        <f ca="1">IFERROR(VLOOKUP($M35,База!$A:$BE,13,0),"")</f>
        <v/>
      </c>
      <c r="Q35" s="1" t="str">
        <f ca="1">IFERROR(VLOOKUP($M35,База!$A:$BE,16,0),"")</f>
        <v/>
      </c>
      <c r="R35" s="1" t="str">
        <f ca="1">IFERROR(VLOOKUP($M35,База!$A:$BE,17,0),"")</f>
        <v/>
      </c>
      <c r="S35">
        <v>430</v>
      </c>
      <c r="U35" s="1" t="str">
        <f ca="1">IFERROR(VLOOKUP($S35,База!$A:$BE,10,0),"")</f>
        <v/>
      </c>
      <c r="V35" s="1" t="str">
        <f ca="1">IFERROR(VLOOKUP($S35,База!$A:$BE,13,0),"")</f>
        <v/>
      </c>
      <c r="W35" s="1" t="str">
        <f ca="1">IFERROR(VLOOKUP($S35,База!$A:$BE,16,0),"")</f>
        <v/>
      </c>
      <c r="X35" s="1" t="str">
        <f ca="1">IFERROR(VLOOKUP($S35,База!$A:$BE,17,0),"")</f>
        <v/>
      </c>
      <c r="Y35" s="5">
        <v>530</v>
      </c>
      <c r="AA35" s="1" t="str">
        <f ca="1">IFERROR(VLOOKUP($Y35,База!$A:$BE,10,0),"")</f>
        <v/>
      </c>
      <c r="AB35" s="1" t="str">
        <f ca="1">IFERROR(VLOOKUP($Y35,База!$A:$BE,13,0),"")</f>
        <v/>
      </c>
      <c r="AC35" s="1" t="str">
        <f ca="1">IFERROR(VLOOKUP($Y35,База!$A:$BE,16,0),"")</f>
        <v/>
      </c>
      <c r="AD35" s="1" t="str">
        <f ca="1">IFERROR(VLOOKUP($Y35,База!$A:$BE,17,0),"")</f>
        <v/>
      </c>
      <c r="AE35" s="5">
        <v>630</v>
      </c>
      <c r="AG35" s="1" t="str">
        <f ca="1">IFERROR(VLOOKUP($AE35,База!$A:$BE,10,0),"")</f>
        <v/>
      </c>
      <c r="AH35" s="1" t="str">
        <f ca="1">IFERROR(VLOOKUP($AE35,База!$A:$BE,13,0),"")</f>
        <v/>
      </c>
      <c r="AI35" s="1" t="str">
        <f ca="1">IFERROR(VLOOKUP($AE35,База!$A:$BE,16,0),"")</f>
        <v/>
      </c>
      <c r="AJ35" s="1" t="str">
        <f ca="1">IFERROR(VLOOKUP($AE35,База!$A:$BE,17,0),"")</f>
        <v/>
      </c>
      <c r="AK35" s="5">
        <v>730</v>
      </c>
      <c r="AM35" s="1" t="str">
        <f ca="1">IFERROR(VLOOKUP($AK35,База!$A:$BE,10,0),"")</f>
        <v/>
      </c>
      <c r="AN35" s="1" t="str">
        <f ca="1">IFERROR(VLOOKUP($AK35,База!$A:$BE,13,0),"")</f>
        <v/>
      </c>
      <c r="AO35" s="1" t="str">
        <f ca="1">IFERROR(VLOOKUP($AK35,База!$A:$BE,16,0),"")</f>
        <v/>
      </c>
      <c r="AP35" s="1" t="str">
        <f ca="1">IFERROR(VLOOKUP($AK35,База!$A:$BE,17,0),"")</f>
        <v/>
      </c>
      <c r="AQ35" s="5">
        <v>830</v>
      </c>
      <c r="AS35" s="1" t="str">
        <f ca="1">IFERROR(VLOOKUP($AQ35,База!$A:$BE,10,0),"")</f>
        <v/>
      </c>
      <c r="AT35" s="1" t="str">
        <f ca="1">IFERROR(VLOOKUP($AQ35,База!$A:$BE,13,0),"")</f>
        <v/>
      </c>
      <c r="AU35" s="1" t="str">
        <f ca="1">IFERROR(VLOOKUP($AQ35,База!$A:$BE,16,0),"")</f>
        <v/>
      </c>
      <c r="AV35" s="1" t="str">
        <f ca="1">IFERROR(VLOOKUP($AQ35,База!$A:$BE,17,0),"")</f>
        <v/>
      </c>
    </row>
    <row r="36" spans="1:48" x14ac:dyDescent="0.25">
      <c r="A36" t="s">
        <v>37</v>
      </c>
      <c r="B36" s="1" t="str">
        <f ca="1">IFERROR(VLOOKUP($A36,База!$A:$BE,10,0),"")</f>
        <v/>
      </c>
      <c r="C36" s="1" t="str">
        <f ca="1">IFERROR(VLOOKUP($A36,База!$A:$BE,13,0),"")</f>
        <v/>
      </c>
      <c r="D36" s="1" t="str">
        <f ca="1">IFERROR(VLOOKUP($A36,База!$A:$BE,16,0),"")</f>
        <v/>
      </c>
      <c r="E36" s="1" t="str">
        <f ca="1">IFERROR(VLOOKUP($A36,База!$A:$BE,17,0),"")</f>
        <v/>
      </c>
      <c r="F36">
        <v>231</v>
      </c>
      <c r="I36" s="1" t="str">
        <f ca="1">IFERROR(VLOOKUP($F36,База!$A:$BE,10,0),"")</f>
        <v/>
      </c>
      <c r="J36" s="1" t="str">
        <f ca="1">IFERROR(VLOOKUP($F36,База!$A:$BE,13,0),"")</f>
        <v/>
      </c>
      <c r="K36" s="1" t="str">
        <f ca="1">IFERROR(VLOOKUP($F36,База!$A:$BE,16,0),"")</f>
        <v/>
      </c>
      <c r="L36" s="1" t="str">
        <f ca="1">IFERROR(VLOOKUP($F36,База!$A:$BE,17,0),"")</f>
        <v/>
      </c>
      <c r="M36">
        <v>331</v>
      </c>
      <c r="O36" s="1" t="str">
        <f ca="1">IFERROR(VLOOKUP($M36,База!$A:$BE,10,0),"")</f>
        <v/>
      </c>
      <c r="P36" s="1" t="str">
        <f ca="1">IFERROR(VLOOKUP($M36,База!$A:$BE,13,0),"")</f>
        <v/>
      </c>
      <c r="Q36" s="1" t="str">
        <f ca="1">IFERROR(VLOOKUP($M36,База!$A:$BE,16,0),"")</f>
        <v/>
      </c>
      <c r="R36" s="1" t="str">
        <f ca="1">IFERROR(VLOOKUP($M36,База!$A:$BE,17,0),"")</f>
        <v/>
      </c>
      <c r="S36">
        <v>431</v>
      </c>
      <c r="U36" s="1" t="str">
        <f ca="1">IFERROR(VLOOKUP($S36,База!$A:$BE,10,0),"")</f>
        <v/>
      </c>
      <c r="V36" s="1" t="str">
        <f ca="1">IFERROR(VLOOKUP($S36,База!$A:$BE,13,0),"")</f>
        <v/>
      </c>
      <c r="W36" s="1" t="str">
        <f ca="1">IFERROR(VLOOKUP($S36,База!$A:$BE,16,0),"")</f>
        <v/>
      </c>
      <c r="X36" s="1" t="str">
        <f ca="1">IFERROR(VLOOKUP($S36,База!$A:$BE,17,0),"")</f>
        <v/>
      </c>
      <c r="Y36" s="5">
        <v>531</v>
      </c>
      <c r="AA36" s="1" t="str">
        <f ca="1">IFERROR(VLOOKUP($Y36,База!$A:$BE,10,0),"")</f>
        <v/>
      </c>
      <c r="AB36" s="1" t="str">
        <f ca="1">IFERROR(VLOOKUP($Y36,База!$A:$BE,13,0),"")</f>
        <v/>
      </c>
      <c r="AC36" s="1" t="str">
        <f ca="1">IFERROR(VLOOKUP($Y36,База!$A:$BE,16,0),"")</f>
        <v/>
      </c>
      <c r="AD36" s="1" t="str">
        <f ca="1">IFERROR(VLOOKUP($Y36,База!$A:$BE,17,0),"")</f>
        <v/>
      </c>
      <c r="AE36" s="5">
        <v>631</v>
      </c>
      <c r="AG36" s="1" t="str">
        <f ca="1">IFERROR(VLOOKUP($AE36,База!$A:$BE,10,0),"")</f>
        <v/>
      </c>
      <c r="AH36" s="1" t="str">
        <f ca="1">IFERROR(VLOOKUP($AE36,База!$A:$BE,13,0),"")</f>
        <v/>
      </c>
      <c r="AI36" s="1" t="str">
        <f ca="1">IFERROR(VLOOKUP($AE36,База!$A:$BE,16,0),"")</f>
        <v/>
      </c>
      <c r="AJ36" s="1" t="str">
        <f ca="1">IFERROR(VLOOKUP($AE36,База!$A:$BE,17,0),"")</f>
        <v/>
      </c>
      <c r="AK36" s="5">
        <v>731</v>
      </c>
      <c r="AM36" s="1" t="str">
        <f ca="1">IFERROR(VLOOKUP($AK36,База!$A:$BE,10,0),"")</f>
        <v/>
      </c>
      <c r="AN36" s="1" t="str">
        <f ca="1">IFERROR(VLOOKUP($AK36,База!$A:$BE,13,0),"")</f>
        <v/>
      </c>
      <c r="AO36" s="1" t="str">
        <f ca="1">IFERROR(VLOOKUP($AK36,База!$A:$BE,16,0),"")</f>
        <v/>
      </c>
      <c r="AP36" s="1" t="str">
        <f ca="1">IFERROR(VLOOKUP($AK36,База!$A:$BE,17,0),"")</f>
        <v/>
      </c>
      <c r="AQ36" s="5">
        <v>831</v>
      </c>
      <c r="AS36" s="1" t="str">
        <f ca="1">IFERROR(VLOOKUP($AQ36,База!$A:$BE,10,0),"")</f>
        <v/>
      </c>
      <c r="AT36" s="1" t="str">
        <f ca="1">IFERROR(VLOOKUP($AQ36,База!$A:$BE,13,0),"")</f>
        <v/>
      </c>
      <c r="AU36" s="1" t="str">
        <f ca="1">IFERROR(VLOOKUP($AQ36,База!$A:$BE,16,0),"")</f>
        <v/>
      </c>
      <c r="AV36" s="1" t="str">
        <f ca="1">IFERROR(VLOOKUP($AQ36,База!$A:$BE,17,0),"")</f>
        <v/>
      </c>
    </row>
    <row r="37" spans="1:48" x14ac:dyDescent="0.25">
      <c r="A37" t="s">
        <v>38</v>
      </c>
      <c r="B37" s="1" t="str">
        <f ca="1">IFERROR(VLOOKUP($A37,База!$A:$BE,10,0),"")</f>
        <v/>
      </c>
      <c r="C37" s="1" t="str">
        <f ca="1">IFERROR(VLOOKUP($A37,База!$A:$BE,13,0),"")</f>
        <v/>
      </c>
      <c r="D37" s="1" t="str">
        <f ca="1">IFERROR(VLOOKUP($A37,База!$A:$BE,16,0),"")</f>
        <v/>
      </c>
      <c r="E37" s="1" t="str">
        <f ca="1">IFERROR(VLOOKUP($A37,База!$A:$BE,17,0),"")</f>
        <v/>
      </c>
      <c r="F37">
        <v>232</v>
      </c>
      <c r="I37" s="1" t="str">
        <f ca="1">IFERROR(VLOOKUP($F37,База!$A:$BE,10,0),"")</f>
        <v/>
      </c>
      <c r="J37" s="1" t="str">
        <f ca="1">IFERROR(VLOOKUP($F37,База!$A:$BE,13,0),"")</f>
        <v/>
      </c>
      <c r="K37" s="1" t="str">
        <f ca="1">IFERROR(VLOOKUP($F37,База!$A:$BE,16,0),"")</f>
        <v/>
      </c>
      <c r="L37" s="1" t="str">
        <f ca="1">IFERROR(VLOOKUP($F37,База!$A:$BE,17,0),"")</f>
        <v/>
      </c>
      <c r="M37">
        <v>332</v>
      </c>
      <c r="O37" s="1" t="str">
        <f ca="1">IFERROR(VLOOKUP($M37,База!$A:$BE,10,0),"")</f>
        <v/>
      </c>
      <c r="P37" s="1" t="str">
        <f ca="1">IFERROR(VLOOKUP($M37,База!$A:$BE,13,0),"")</f>
        <v/>
      </c>
      <c r="Q37" s="1" t="str">
        <f ca="1">IFERROR(VLOOKUP($M37,База!$A:$BE,16,0),"")</f>
        <v/>
      </c>
      <c r="R37" s="1" t="str">
        <f ca="1">IFERROR(VLOOKUP($M37,База!$A:$BE,17,0),"")</f>
        <v/>
      </c>
      <c r="S37">
        <v>432</v>
      </c>
      <c r="U37" s="1" t="str">
        <f ca="1">IFERROR(VLOOKUP($S37,База!$A:$BE,10,0),"")</f>
        <v/>
      </c>
      <c r="V37" s="1" t="str">
        <f ca="1">IFERROR(VLOOKUP($S37,База!$A:$BE,13,0),"")</f>
        <v/>
      </c>
      <c r="W37" s="1" t="str">
        <f ca="1">IFERROR(VLOOKUP($S37,База!$A:$BE,16,0),"")</f>
        <v/>
      </c>
      <c r="X37" s="1" t="str">
        <f ca="1">IFERROR(VLOOKUP($S37,База!$A:$BE,17,0),"")</f>
        <v/>
      </c>
      <c r="Y37" s="5">
        <v>532</v>
      </c>
      <c r="AA37" s="1" t="str">
        <f ca="1">IFERROR(VLOOKUP($Y37,База!$A:$BE,10,0),"")</f>
        <v/>
      </c>
      <c r="AB37" s="1" t="str">
        <f ca="1">IFERROR(VLOOKUP($Y37,База!$A:$BE,13,0),"")</f>
        <v/>
      </c>
      <c r="AC37" s="1" t="str">
        <f ca="1">IFERROR(VLOOKUP($Y37,База!$A:$BE,16,0),"")</f>
        <v/>
      </c>
      <c r="AD37" s="1" t="str">
        <f ca="1">IFERROR(VLOOKUP($Y37,База!$A:$BE,17,0),"")</f>
        <v/>
      </c>
      <c r="AE37" s="5">
        <v>632</v>
      </c>
      <c r="AG37" s="1" t="str">
        <f ca="1">IFERROR(VLOOKUP($AE37,База!$A:$BE,10,0),"")</f>
        <v/>
      </c>
      <c r="AH37" s="1" t="str">
        <f ca="1">IFERROR(VLOOKUP($AE37,База!$A:$BE,13,0),"")</f>
        <v/>
      </c>
      <c r="AI37" s="1" t="str">
        <f ca="1">IFERROR(VLOOKUP($AE37,База!$A:$BE,16,0),"")</f>
        <v/>
      </c>
      <c r="AJ37" s="1" t="str">
        <f ca="1">IFERROR(VLOOKUP($AE37,База!$A:$BE,17,0),"")</f>
        <v/>
      </c>
      <c r="AK37" s="5">
        <v>732</v>
      </c>
      <c r="AM37" s="1" t="str">
        <f ca="1">IFERROR(VLOOKUP($AK37,База!$A:$BE,10,0),"")</f>
        <v/>
      </c>
      <c r="AN37" s="1" t="str">
        <f ca="1">IFERROR(VLOOKUP($AK37,База!$A:$BE,13,0),"")</f>
        <v/>
      </c>
      <c r="AO37" s="1" t="str">
        <f ca="1">IFERROR(VLOOKUP($AK37,База!$A:$BE,16,0),"")</f>
        <v/>
      </c>
      <c r="AP37" s="1" t="str">
        <f ca="1">IFERROR(VLOOKUP($AK37,База!$A:$BE,17,0),"")</f>
        <v/>
      </c>
      <c r="AQ37" s="5">
        <v>832</v>
      </c>
      <c r="AS37" s="1" t="str">
        <f ca="1">IFERROR(VLOOKUP($AQ37,База!$A:$BE,10,0),"")</f>
        <v/>
      </c>
      <c r="AT37" s="1" t="str">
        <f ca="1">IFERROR(VLOOKUP($AQ37,База!$A:$BE,13,0),"")</f>
        <v/>
      </c>
      <c r="AU37" s="1" t="str">
        <f ca="1">IFERROR(VLOOKUP($AQ37,База!$A:$BE,16,0),"")</f>
        <v/>
      </c>
      <c r="AV37" s="1" t="str">
        <f ca="1">IFERROR(VLOOKUP($AQ37,База!$A:$BE,17,0),"")</f>
        <v/>
      </c>
    </row>
    <row r="38" spans="1:48" x14ac:dyDescent="0.25">
      <c r="A38" t="s">
        <v>39</v>
      </c>
      <c r="B38" s="1" t="str">
        <f ca="1">IFERROR(VLOOKUP($A38,База!$A:$BE,10,0),"")</f>
        <v/>
      </c>
      <c r="C38" s="1" t="str">
        <f ca="1">IFERROR(VLOOKUP($A38,База!$A:$BE,13,0),"")</f>
        <v/>
      </c>
      <c r="D38" s="1" t="str">
        <f ca="1">IFERROR(VLOOKUP($A38,База!$A:$BE,16,0),"")</f>
        <v/>
      </c>
      <c r="E38" s="1" t="str">
        <f ca="1">IFERROR(VLOOKUP($A38,База!$A:$BE,17,0),"")</f>
        <v/>
      </c>
      <c r="F38">
        <v>233</v>
      </c>
      <c r="I38" s="1" t="str">
        <f ca="1">IFERROR(VLOOKUP($F38,База!$A:$BE,10,0),"")</f>
        <v/>
      </c>
      <c r="J38" s="1" t="str">
        <f ca="1">IFERROR(VLOOKUP($F38,База!$A:$BE,13,0),"")</f>
        <v/>
      </c>
      <c r="K38" s="1" t="str">
        <f ca="1">IFERROR(VLOOKUP($F38,База!$A:$BE,16,0),"")</f>
        <v/>
      </c>
      <c r="L38" s="1" t="str">
        <f ca="1">IFERROR(VLOOKUP($F38,База!$A:$BE,17,0),"")</f>
        <v/>
      </c>
      <c r="M38">
        <v>333</v>
      </c>
      <c r="O38" s="1" t="str">
        <f ca="1">IFERROR(VLOOKUP($M38,База!$A:$BE,10,0),"")</f>
        <v/>
      </c>
      <c r="P38" s="1" t="str">
        <f ca="1">IFERROR(VLOOKUP($M38,База!$A:$BE,13,0),"")</f>
        <v/>
      </c>
      <c r="Q38" s="1" t="str">
        <f ca="1">IFERROR(VLOOKUP($M38,База!$A:$BE,16,0),"")</f>
        <v/>
      </c>
      <c r="R38" s="1" t="str">
        <f ca="1">IFERROR(VLOOKUP($M38,База!$A:$BE,17,0),"")</f>
        <v/>
      </c>
      <c r="S38">
        <v>433</v>
      </c>
      <c r="U38" s="1" t="str">
        <f ca="1">IFERROR(VLOOKUP($S38,База!$A:$BE,10,0),"")</f>
        <v/>
      </c>
      <c r="V38" s="1" t="str">
        <f ca="1">IFERROR(VLOOKUP($S38,База!$A:$BE,13,0),"")</f>
        <v/>
      </c>
      <c r="W38" s="1" t="str">
        <f ca="1">IFERROR(VLOOKUP($S38,База!$A:$BE,16,0),"")</f>
        <v/>
      </c>
      <c r="X38" s="1" t="str">
        <f ca="1">IFERROR(VLOOKUP($S38,База!$A:$BE,17,0),"")</f>
        <v/>
      </c>
      <c r="Y38" s="5">
        <v>533</v>
      </c>
      <c r="AA38" s="1" t="str">
        <f ca="1">IFERROR(VLOOKUP($Y38,База!$A:$BE,10,0),"")</f>
        <v/>
      </c>
      <c r="AB38" s="1" t="str">
        <f ca="1">IFERROR(VLOOKUP($Y38,База!$A:$BE,13,0),"")</f>
        <v/>
      </c>
      <c r="AC38" s="1" t="str">
        <f ca="1">IFERROR(VLOOKUP($Y38,База!$A:$BE,16,0),"")</f>
        <v/>
      </c>
      <c r="AD38" s="1" t="str">
        <f ca="1">IFERROR(VLOOKUP($Y38,База!$A:$BE,17,0),"")</f>
        <v/>
      </c>
      <c r="AE38" s="5">
        <v>633</v>
      </c>
      <c r="AG38" s="1" t="str">
        <f ca="1">IFERROR(VLOOKUP($AE38,База!$A:$BE,10,0),"")</f>
        <v/>
      </c>
      <c r="AH38" s="1" t="str">
        <f ca="1">IFERROR(VLOOKUP($AE38,База!$A:$BE,13,0),"")</f>
        <v/>
      </c>
      <c r="AI38" s="1" t="str">
        <f ca="1">IFERROR(VLOOKUP($AE38,База!$A:$BE,16,0),"")</f>
        <v/>
      </c>
      <c r="AJ38" s="1" t="str">
        <f ca="1">IFERROR(VLOOKUP($AE38,База!$A:$BE,17,0),"")</f>
        <v/>
      </c>
      <c r="AK38" s="5">
        <v>733</v>
      </c>
      <c r="AM38" s="1" t="str">
        <f ca="1">IFERROR(VLOOKUP($AK38,База!$A:$BE,10,0),"")</f>
        <v/>
      </c>
      <c r="AN38" s="1" t="str">
        <f ca="1">IFERROR(VLOOKUP($AK38,База!$A:$BE,13,0),"")</f>
        <v/>
      </c>
      <c r="AO38" s="1" t="str">
        <f ca="1">IFERROR(VLOOKUP($AK38,База!$A:$BE,16,0),"")</f>
        <v/>
      </c>
      <c r="AP38" s="1" t="str">
        <f ca="1">IFERROR(VLOOKUP($AK38,База!$A:$BE,17,0),"")</f>
        <v/>
      </c>
      <c r="AQ38" s="5">
        <v>833</v>
      </c>
      <c r="AS38" s="1" t="str">
        <f ca="1">IFERROR(VLOOKUP($AQ38,База!$A:$BE,10,0),"")</f>
        <v/>
      </c>
      <c r="AT38" s="1" t="str">
        <f ca="1">IFERROR(VLOOKUP($AQ38,База!$A:$BE,13,0),"")</f>
        <v/>
      </c>
      <c r="AU38" s="1" t="str">
        <f ca="1">IFERROR(VLOOKUP($AQ38,База!$A:$BE,16,0),"")</f>
        <v/>
      </c>
      <c r="AV38" s="1" t="str">
        <f ca="1">IFERROR(VLOOKUP($AQ38,База!$A:$BE,17,0),"")</f>
        <v/>
      </c>
    </row>
    <row r="39" spans="1:48" x14ac:dyDescent="0.25">
      <c r="A39" t="s">
        <v>40</v>
      </c>
      <c r="B39" s="1" t="str">
        <f ca="1">IFERROR(VLOOKUP($A39,База!$A:$BE,10,0),"")</f>
        <v/>
      </c>
      <c r="C39" s="1" t="str">
        <f ca="1">IFERROR(VLOOKUP($A39,База!$A:$BE,13,0),"")</f>
        <v/>
      </c>
      <c r="D39" s="1" t="str">
        <f ca="1">IFERROR(VLOOKUP($A39,База!$A:$BE,16,0),"")</f>
        <v/>
      </c>
      <c r="E39" s="1" t="str">
        <f ca="1">IFERROR(VLOOKUP($A39,База!$A:$BE,17,0),"")</f>
        <v/>
      </c>
      <c r="F39">
        <v>234</v>
      </c>
      <c r="I39" s="1" t="str">
        <f ca="1">IFERROR(VLOOKUP($F39,База!$A:$BE,10,0),"")</f>
        <v/>
      </c>
      <c r="J39" s="1" t="str">
        <f ca="1">IFERROR(VLOOKUP($F39,База!$A:$BE,13,0),"")</f>
        <v/>
      </c>
      <c r="K39" s="1" t="str">
        <f ca="1">IFERROR(VLOOKUP($F39,База!$A:$BE,16,0),"")</f>
        <v/>
      </c>
      <c r="L39" s="1" t="str">
        <f ca="1">IFERROR(VLOOKUP($F39,База!$A:$BE,17,0),"")</f>
        <v/>
      </c>
      <c r="M39">
        <v>334</v>
      </c>
      <c r="O39" s="1" t="str">
        <f ca="1">IFERROR(VLOOKUP($M39,База!$A:$BE,10,0),"")</f>
        <v/>
      </c>
      <c r="P39" s="1" t="str">
        <f ca="1">IFERROR(VLOOKUP($M39,База!$A:$BE,13,0),"")</f>
        <v/>
      </c>
      <c r="Q39" s="1" t="str">
        <f ca="1">IFERROR(VLOOKUP($M39,База!$A:$BE,16,0),"")</f>
        <v/>
      </c>
      <c r="R39" s="1" t="str">
        <f ca="1">IFERROR(VLOOKUP($M39,База!$A:$BE,17,0),"")</f>
        <v/>
      </c>
      <c r="S39">
        <v>434</v>
      </c>
      <c r="U39" s="1" t="str">
        <f ca="1">IFERROR(VLOOKUP($S39,База!$A:$BE,10,0),"")</f>
        <v/>
      </c>
      <c r="V39" s="1" t="str">
        <f ca="1">IFERROR(VLOOKUP($S39,База!$A:$BE,13,0),"")</f>
        <v/>
      </c>
      <c r="W39" s="1" t="str">
        <f ca="1">IFERROR(VLOOKUP($S39,База!$A:$BE,16,0),"")</f>
        <v/>
      </c>
      <c r="X39" s="1" t="str">
        <f ca="1">IFERROR(VLOOKUP($S39,База!$A:$BE,17,0),"")</f>
        <v/>
      </c>
      <c r="Y39" s="5">
        <v>534</v>
      </c>
      <c r="AA39" s="1" t="str">
        <f ca="1">IFERROR(VLOOKUP($Y39,База!$A:$BE,10,0),"")</f>
        <v/>
      </c>
      <c r="AB39" s="1" t="str">
        <f ca="1">IFERROR(VLOOKUP($Y39,База!$A:$BE,13,0),"")</f>
        <v/>
      </c>
      <c r="AC39" s="1" t="str">
        <f ca="1">IFERROR(VLOOKUP($Y39,База!$A:$BE,16,0),"")</f>
        <v/>
      </c>
      <c r="AD39" s="1" t="str">
        <f ca="1">IFERROR(VLOOKUP($Y39,База!$A:$BE,17,0),"")</f>
        <v/>
      </c>
      <c r="AE39" s="5">
        <v>634</v>
      </c>
      <c r="AG39" s="1" t="str">
        <f ca="1">IFERROR(VLOOKUP($AE39,База!$A:$BE,10,0),"")</f>
        <v/>
      </c>
      <c r="AH39" s="1" t="str">
        <f ca="1">IFERROR(VLOOKUP($AE39,База!$A:$BE,13,0),"")</f>
        <v/>
      </c>
      <c r="AI39" s="1" t="str">
        <f ca="1">IFERROR(VLOOKUP($AE39,База!$A:$BE,16,0),"")</f>
        <v/>
      </c>
      <c r="AJ39" s="1" t="str">
        <f ca="1">IFERROR(VLOOKUP($AE39,База!$A:$BE,17,0),"")</f>
        <v/>
      </c>
      <c r="AK39" s="5">
        <v>734</v>
      </c>
      <c r="AM39" s="1" t="str">
        <f ca="1">IFERROR(VLOOKUP($AK39,База!$A:$BE,10,0),"")</f>
        <v/>
      </c>
      <c r="AN39" s="1" t="str">
        <f ca="1">IFERROR(VLOOKUP($AK39,База!$A:$BE,13,0),"")</f>
        <v/>
      </c>
      <c r="AO39" s="1" t="str">
        <f ca="1">IFERROR(VLOOKUP($AK39,База!$A:$BE,16,0),"")</f>
        <v/>
      </c>
      <c r="AP39" s="1" t="str">
        <f ca="1">IFERROR(VLOOKUP($AK39,База!$A:$BE,17,0),"")</f>
        <v/>
      </c>
      <c r="AQ39" s="5">
        <v>834</v>
      </c>
      <c r="AS39" s="1" t="str">
        <f ca="1">IFERROR(VLOOKUP($AQ39,База!$A:$BE,10,0),"")</f>
        <v/>
      </c>
      <c r="AT39" s="1" t="str">
        <f ca="1">IFERROR(VLOOKUP($AQ39,База!$A:$BE,13,0),"")</f>
        <v/>
      </c>
      <c r="AU39" s="1" t="str">
        <f ca="1">IFERROR(VLOOKUP($AQ39,База!$A:$BE,16,0),"")</f>
        <v/>
      </c>
      <c r="AV39" s="1" t="str">
        <f ca="1">IFERROR(VLOOKUP($AQ39,База!$A:$BE,17,0),"")</f>
        <v/>
      </c>
    </row>
    <row r="40" spans="1:48" x14ac:dyDescent="0.25">
      <c r="A40" t="s">
        <v>41</v>
      </c>
      <c r="B40" s="1" t="str">
        <f ca="1">IFERROR(VLOOKUP($A40,База!$A:$BE,10,0),"")</f>
        <v/>
      </c>
      <c r="C40" s="1" t="str">
        <f ca="1">IFERROR(VLOOKUP($A40,База!$A:$BE,13,0),"")</f>
        <v/>
      </c>
      <c r="D40" s="1" t="str">
        <f ca="1">IFERROR(VLOOKUP($A40,База!$A:$BE,16,0),"")</f>
        <v/>
      </c>
      <c r="E40" s="1" t="str">
        <f ca="1">IFERROR(VLOOKUP($A40,База!$A:$BE,17,0),"")</f>
        <v/>
      </c>
      <c r="F40">
        <v>235</v>
      </c>
      <c r="I40" s="1" t="str">
        <f ca="1">IFERROR(VLOOKUP($F40,База!$A:$BE,10,0),"")</f>
        <v/>
      </c>
      <c r="J40" s="1" t="str">
        <f ca="1">IFERROR(VLOOKUP($F40,База!$A:$BE,13,0),"")</f>
        <v/>
      </c>
      <c r="K40" s="1" t="str">
        <f ca="1">IFERROR(VLOOKUP($F40,База!$A:$BE,16,0),"")</f>
        <v/>
      </c>
      <c r="L40" s="1" t="str">
        <f ca="1">IFERROR(VLOOKUP($F40,База!$A:$BE,17,0),"")</f>
        <v/>
      </c>
      <c r="M40">
        <v>335</v>
      </c>
      <c r="O40" s="1" t="str">
        <f ca="1">IFERROR(VLOOKUP($M40,База!$A:$BE,10,0),"")</f>
        <v/>
      </c>
      <c r="P40" s="1" t="str">
        <f ca="1">IFERROR(VLOOKUP($M40,База!$A:$BE,13,0),"")</f>
        <v/>
      </c>
      <c r="Q40" s="1" t="str">
        <f ca="1">IFERROR(VLOOKUP($M40,База!$A:$BE,16,0),"")</f>
        <v/>
      </c>
      <c r="R40" s="1" t="str">
        <f ca="1">IFERROR(VLOOKUP($M40,База!$A:$BE,17,0),"")</f>
        <v/>
      </c>
      <c r="S40">
        <v>435</v>
      </c>
      <c r="U40" s="1" t="str">
        <f ca="1">IFERROR(VLOOKUP($S40,База!$A:$BE,10,0),"")</f>
        <v/>
      </c>
      <c r="V40" s="1" t="str">
        <f ca="1">IFERROR(VLOOKUP($S40,База!$A:$BE,13,0),"")</f>
        <v/>
      </c>
      <c r="W40" s="1" t="str">
        <f ca="1">IFERROR(VLOOKUP($S40,База!$A:$BE,16,0),"")</f>
        <v/>
      </c>
      <c r="X40" s="1" t="str">
        <f ca="1">IFERROR(VLOOKUP($S40,База!$A:$BE,17,0),"")</f>
        <v/>
      </c>
      <c r="Y40" s="5">
        <v>535</v>
      </c>
      <c r="AA40" s="1" t="str">
        <f ca="1">IFERROR(VLOOKUP($Y40,База!$A:$BE,10,0),"")</f>
        <v/>
      </c>
      <c r="AB40" s="1" t="str">
        <f ca="1">IFERROR(VLOOKUP($Y40,База!$A:$BE,13,0),"")</f>
        <v/>
      </c>
      <c r="AC40" s="1" t="str">
        <f ca="1">IFERROR(VLOOKUP($Y40,База!$A:$BE,16,0),"")</f>
        <v/>
      </c>
      <c r="AD40" s="1" t="str">
        <f ca="1">IFERROR(VLOOKUP($Y40,База!$A:$BE,17,0),"")</f>
        <v/>
      </c>
      <c r="AE40" s="5">
        <v>635</v>
      </c>
      <c r="AG40" s="1" t="str">
        <f ca="1">IFERROR(VLOOKUP($AE40,База!$A:$BE,10,0),"")</f>
        <v/>
      </c>
      <c r="AH40" s="1" t="str">
        <f ca="1">IFERROR(VLOOKUP($AE40,База!$A:$BE,13,0),"")</f>
        <v/>
      </c>
      <c r="AI40" s="1" t="str">
        <f ca="1">IFERROR(VLOOKUP($AE40,База!$A:$BE,16,0),"")</f>
        <v/>
      </c>
      <c r="AJ40" s="1" t="str">
        <f ca="1">IFERROR(VLOOKUP($AE40,База!$A:$BE,17,0),"")</f>
        <v/>
      </c>
      <c r="AK40" s="5">
        <v>735</v>
      </c>
      <c r="AM40" s="1" t="str">
        <f ca="1">IFERROR(VLOOKUP($AK40,База!$A:$BE,10,0),"")</f>
        <v/>
      </c>
      <c r="AN40" s="1" t="str">
        <f ca="1">IFERROR(VLOOKUP($AK40,База!$A:$BE,13,0),"")</f>
        <v/>
      </c>
      <c r="AO40" s="1" t="str">
        <f ca="1">IFERROR(VLOOKUP($AK40,База!$A:$BE,16,0),"")</f>
        <v/>
      </c>
      <c r="AP40" s="1" t="str">
        <f ca="1">IFERROR(VLOOKUP($AK40,База!$A:$BE,17,0),"")</f>
        <v/>
      </c>
      <c r="AQ40" s="5">
        <v>835</v>
      </c>
      <c r="AS40" s="1" t="str">
        <f ca="1">IFERROR(VLOOKUP($AQ40,База!$A:$BE,10,0),"")</f>
        <v/>
      </c>
      <c r="AT40" s="1" t="str">
        <f ca="1">IFERROR(VLOOKUP($AQ40,База!$A:$BE,13,0),"")</f>
        <v/>
      </c>
      <c r="AU40" s="1" t="str">
        <f ca="1">IFERROR(VLOOKUP($AQ40,База!$A:$BE,16,0),"")</f>
        <v/>
      </c>
      <c r="AV40" s="1" t="str">
        <f ca="1">IFERROR(VLOOKUP($AQ40,База!$A:$BE,17,0),"")</f>
        <v/>
      </c>
    </row>
    <row r="41" spans="1:48" x14ac:dyDescent="0.25">
      <c r="A41" t="s">
        <v>42</v>
      </c>
      <c r="B41" s="1" t="str">
        <f ca="1">IFERROR(VLOOKUP($A41,База!$A:$BE,10,0),"")</f>
        <v/>
      </c>
      <c r="C41" s="1" t="str">
        <f ca="1">IFERROR(VLOOKUP($A41,База!$A:$BE,13,0),"")</f>
        <v/>
      </c>
      <c r="D41" s="1" t="str">
        <f ca="1">IFERROR(VLOOKUP($A41,База!$A:$BE,16,0),"")</f>
        <v/>
      </c>
      <c r="E41" s="1" t="str">
        <f ca="1">IFERROR(VLOOKUP($A41,База!$A:$BE,17,0),"")</f>
        <v/>
      </c>
      <c r="F41">
        <v>236</v>
      </c>
      <c r="I41" s="1" t="str">
        <f ca="1">IFERROR(VLOOKUP($F41,База!$A:$BE,10,0),"")</f>
        <v/>
      </c>
      <c r="J41" s="1" t="str">
        <f ca="1">IFERROR(VLOOKUP($F41,База!$A:$BE,13,0),"")</f>
        <v/>
      </c>
      <c r="K41" s="1" t="str">
        <f ca="1">IFERROR(VLOOKUP($F41,База!$A:$BE,16,0),"")</f>
        <v/>
      </c>
      <c r="L41" s="1" t="str">
        <f ca="1">IFERROR(VLOOKUP($F41,База!$A:$BE,17,0),"")</f>
        <v/>
      </c>
      <c r="M41">
        <v>336</v>
      </c>
      <c r="O41" s="1" t="str">
        <f ca="1">IFERROR(VLOOKUP($M41,База!$A:$BE,10,0),"")</f>
        <v/>
      </c>
      <c r="P41" s="1" t="str">
        <f ca="1">IFERROR(VLOOKUP($M41,База!$A:$BE,13,0),"")</f>
        <v/>
      </c>
      <c r="Q41" s="1" t="str">
        <f ca="1">IFERROR(VLOOKUP($M41,База!$A:$BE,16,0),"")</f>
        <v/>
      </c>
      <c r="R41" s="1" t="str">
        <f ca="1">IFERROR(VLOOKUP($M41,База!$A:$BE,17,0),"")</f>
        <v/>
      </c>
      <c r="S41">
        <v>436</v>
      </c>
      <c r="U41" s="1" t="str">
        <f ca="1">IFERROR(VLOOKUP($S41,База!$A:$BE,10,0),"")</f>
        <v/>
      </c>
      <c r="V41" s="1" t="str">
        <f ca="1">IFERROR(VLOOKUP($S41,База!$A:$BE,13,0),"")</f>
        <v/>
      </c>
      <c r="W41" s="1" t="str">
        <f ca="1">IFERROR(VLOOKUP($S41,База!$A:$BE,16,0),"")</f>
        <v/>
      </c>
      <c r="X41" s="1" t="str">
        <f ca="1">IFERROR(VLOOKUP($S41,База!$A:$BE,17,0),"")</f>
        <v/>
      </c>
      <c r="Y41" s="5">
        <v>536</v>
      </c>
      <c r="AA41" s="1" t="str">
        <f ca="1">IFERROR(VLOOKUP($Y41,База!$A:$BE,10,0),"")</f>
        <v/>
      </c>
      <c r="AB41" s="1" t="str">
        <f ca="1">IFERROR(VLOOKUP($Y41,База!$A:$BE,13,0),"")</f>
        <v/>
      </c>
      <c r="AC41" s="1" t="str">
        <f ca="1">IFERROR(VLOOKUP($Y41,База!$A:$BE,16,0),"")</f>
        <v/>
      </c>
      <c r="AD41" s="1" t="str">
        <f ca="1">IFERROR(VLOOKUP($Y41,База!$A:$BE,17,0),"")</f>
        <v/>
      </c>
      <c r="AE41" s="5">
        <v>636</v>
      </c>
      <c r="AG41" s="1" t="str">
        <f ca="1">IFERROR(VLOOKUP($AE41,База!$A:$BE,10,0),"")</f>
        <v/>
      </c>
      <c r="AH41" s="1" t="str">
        <f ca="1">IFERROR(VLOOKUP($AE41,База!$A:$BE,13,0),"")</f>
        <v/>
      </c>
      <c r="AI41" s="1" t="str">
        <f ca="1">IFERROR(VLOOKUP($AE41,База!$A:$BE,16,0),"")</f>
        <v/>
      </c>
      <c r="AJ41" s="1" t="str">
        <f ca="1">IFERROR(VLOOKUP($AE41,База!$A:$BE,17,0),"")</f>
        <v/>
      </c>
      <c r="AK41" s="5">
        <v>736</v>
      </c>
      <c r="AM41" s="1" t="str">
        <f ca="1">IFERROR(VLOOKUP($AK41,База!$A:$BE,10,0),"")</f>
        <v/>
      </c>
      <c r="AN41" s="1" t="str">
        <f ca="1">IFERROR(VLOOKUP($AK41,База!$A:$BE,13,0),"")</f>
        <v/>
      </c>
      <c r="AO41" s="1" t="str">
        <f ca="1">IFERROR(VLOOKUP($AK41,База!$A:$BE,16,0),"")</f>
        <v/>
      </c>
      <c r="AP41" s="1" t="str">
        <f ca="1">IFERROR(VLOOKUP($AK41,База!$A:$BE,17,0),"")</f>
        <v/>
      </c>
      <c r="AQ41" s="5">
        <v>836</v>
      </c>
      <c r="AS41" s="1" t="str">
        <f ca="1">IFERROR(VLOOKUP($AQ41,База!$A:$BE,10,0),"")</f>
        <v/>
      </c>
      <c r="AT41" s="1" t="str">
        <f ca="1">IFERROR(VLOOKUP($AQ41,База!$A:$BE,13,0),"")</f>
        <v/>
      </c>
      <c r="AU41" s="1" t="str">
        <f ca="1">IFERROR(VLOOKUP($AQ41,База!$A:$BE,16,0),"")</f>
        <v/>
      </c>
      <c r="AV41" s="1" t="str">
        <f ca="1">IFERROR(VLOOKUP($AQ41,База!$A:$BE,17,0),"")</f>
        <v/>
      </c>
    </row>
    <row r="42" spans="1:48" x14ac:dyDescent="0.25">
      <c r="A42" t="s">
        <v>43</v>
      </c>
      <c r="B42" s="1" t="str">
        <f ca="1">IFERROR(VLOOKUP($A42,База!$A:$BE,10,0),"")</f>
        <v/>
      </c>
      <c r="C42" s="1" t="str">
        <f ca="1">IFERROR(VLOOKUP($A42,База!$A:$BE,13,0),"")</f>
        <v/>
      </c>
      <c r="D42" s="1" t="str">
        <f ca="1">IFERROR(VLOOKUP($A42,База!$A:$BE,16,0),"")</f>
        <v/>
      </c>
      <c r="E42" s="1" t="str">
        <f ca="1">IFERROR(VLOOKUP($A42,База!$A:$BE,17,0),"")</f>
        <v/>
      </c>
      <c r="F42">
        <v>237</v>
      </c>
      <c r="I42" s="1" t="str">
        <f ca="1">IFERROR(VLOOKUP($F42,База!$A:$BE,10,0),"")</f>
        <v/>
      </c>
      <c r="J42" s="1" t="str">
        <f ca="1">IFERROR(VLOOKUP($F42,База!$A:$BE,13,0),"")</f>
        <v/>
      </c>
      <c r="K42" s="1" t="str">
        <f ca="1">IFERROR(VLOOKUP($F42,База!$A:$BE,16,0),"")</f>
        <v/>
      </c>
      <c r="L42" s="1" t="str">
        <f ca="1">IFERROR(VLOOKUP($F42,База!$A:$BE,17,0),"")</f>
        <v/>
      </c>
      <c r="M42">
        <v>337</v>
      </c>
      <c r="O42" s="1" t="str">
        <f ca="1">IFERROR(VLOOKUP($M42,База!$A:$BE,10,0),"")</f>
        <v/>
      </c>
      <c r="P42" s="1" t="str">
        <f ca="1">IFERROR(VLOOKUP($M42,База!$A:$BE,13,0),"")</f>
        <v/>
      </c>
      <c r="Q42" s="1" t="str">
        <f ca="1">IFERROR(VLOOKUP($M42,База!$A:$BE,16,0),"")</f>
        <v/>
      </c>
      <c r="R42" s="1" t="str">
        <f ca="1">IFERROR(VLOOKUP($M42,База!$A:$BE,17,0),"")</f>
        <v/>
      </c>
      <c r="S42">
        <v>437</v>
      </c>
      <c r="U42" s="1" t="str">
        <f ca="1">IFERROR(VLOOKUP($S42,База!$A:$BE,10,0),"")</f>
        <v/>
      </c>
      <c r="V42" s="1" t="str">
        <f ca="1">IFERROR(VLOOKUP($S42,База!$A:$BE,13,0),"")</f>
        <v/>
      </c>
      <c r="W42" s="1" t="str">
        <f ca="1">IFERROR(VLOOKUP($S42,База!$A:$BE,16,0),"")</f>
        <v/>
      </c>
      <c r="X42" s="1" t="str">
        <f ca="1">IFERROR(VLOOKUP($S42,База!$A:$BE,17,0),"")</f>
        <v/>
      </c>
      <c r="Y42" s="5">
        <v>537</v>
      </c>
      <c r="AA42" s="1" t="str">
        <f ca="1">IFERROR(VLOOKUP($Y42,База!$A:$BE,10,0),"")</f>
        <v/>
      </c>
      <c r="AB42" s="1" t="str">
        <f ca="1">IFERROR(VLOOKUP($Y42,База!$A:$BE,13,0),"")</f>
        <v/>
      </c>
      <c r="AC42" s="1" t="str">
        <f ca="1">IFERROR(VLOOKUP($Y42,База!$A:$BE,16,0),"")</f>
        <v/>
      </c>
      <c r="AD42" s="1" t="str">
        <f ca="1">IFERROR(VLOOKUP($Y42,База!$A:$BE,17,0),"")</f>
        <v/>
      </c>
      <c r="AE42" s="5">
        <v>637</v>
      </c>
      <c r="AG42" s="1" t="str">
        <f ca="1">IFERROR(VLOOKUP($AE42,База!$A:$BE,10,0),"")</f>
        <v/>
      </c>
      <c r="AH42" s="1" t="str">
        <f ca="1">IFERROR(VLOOKUP($AE42,База!$A:$BE,13,0),"")</f>
        <v/>
      </c>
      <c r="AI42" s="1" t="str">
        <f ca="1">IFERROR(VLOOKUP($AE42,База!$A:$BE,16,0),"")</f>
        <v/>
      </c>
      <c r="AJ42" s="1" t="str">
        <f ca="1">IFERROR(VLOOKUP($AE42,База!$A:$BE,17,0),"")</f>
        <v/>
      </c>
      <c r="AK42" s="5">
        <v>737</v>
      </c>
      <c r="AM42" s="1" t="str">
        <f ca="1">IFERROR(VLOOKUP($AK42,База!$A:$BE,10,0),"")</f>
        <v/>
      </c>
      <c r="AN42" s="1" t="str">
        <f ca="1">IFERROR(VLOOKUP($AK42,База!$A:$BE,13,0),"")</f>
        <v/>
      </c>
      <c r="AO42" s="1" t="str">
        <f ca="1">IFERROR(VLOOKUP($AK42,База!$A:$BE,16,0),"")</f>
        <v/>
      </c>
      <c r="AP42" s="1" t="str">
        <f ca="1">IFERROR(VLOOKUP($AK42,База!$A:$BE,17,0),"")</f>
        <v/>
      </c>
      <c r="AQ42" s="5">
        <v>837</v>
      </c>
      <c r="AS42" s="1" t="str">
        <f ca="1">IFERROR(VLOOKUP($AQ42,База!$A:$BE,10,0),"")</f>
        <v/>
      </c>
      <c r="AT42" s="1" t="str">
        <f ca="1">IFERROR(VLOOKUP($AQ42,База!$A:$BE,13,0),"")</f>
        <v/>
      </c>
      <c r="AU42" s="1" t="str">
        <f ca="1">IFERROR(VLOOKUP($AQ42,База!$A:$BE,16,0),"")</f>
        <v/>
      </c>
      <c r="AV42" s="1" t="str">
        <f ca="1">IFERROR(VLOOKUP($AQ42,База!$A:$BE,17,0),"")</f>
        <v/>
      </c>
    </row>
    <row r="43" spans="1:48" x14ac:dyDescent="0.25">
      <c r="A43" t="s">
        <v>44</v>
      </c>
      <c r="B43" s="1" t="str">
        <f ca="1">IFERROR(VLOOKUP($A43,База!$A:$BE,10,0),"")</f>
        <v/>
      </c>
      <c r="C43" s="1" t="str">
        <f ca="1">IFERROR(VLOOKUP($A43,База!$A:$BE,13,0),"")</f>
        <v/>
      </c>
      <c r="D43" s="1" t="str">
        <f ca="1">IFERROR(VLOOKUP($A43,База!$A:$BE,16,0),"")</f>
        <v/>
      </c>
      <c r="E43" s="1" t="str">
        <f ca="1">IFERROR(VLOOKUP($A43,База!$A:$BE,17,0),"")</f>
        <v/>
      </c>
      <c r="F43">
        <v>238</v>
      </c>
      <c r="I43" s="1" t="str">
        <f ca="1">IFERROR(VLOOKUP($F43,База!$A:$BE,10,0),"")</f>
        <v/>
      </c>
      <c r="J43" s="1" t="str">
        <f ca="1">IFERROR(VLOOKUP($F43,База!$A:$BE,13,0),"")</f>
        <v/>
      </c>
      <c r="K43" s="1" t="str">
        <f ca="1">IFERROR(VLOOKUP($F43,База!$A:$BE,16,0),"")</f>
        <v/>
      </c>
      <c r="L43" s="1" t="str">
        <f ca="1">IFERROR(VLOOKUP($F43,База!$A:$BE,17,0),"")</f>
        <v/>
      </c>
      <c r="M43">
        <v>338</v>
      </c>
      <c r="O43" s="1" t="str">
        <f ca="1">IFERROR(VLOOKUP($M43,База!$A:$BE,10,0),"")</f>
        <v/>
      </c>
      <c r="P43" s="1" t="str">
        <f ca="1">IFERROR(VLOOKUP($M43,База!$A:$BE,13,0),"")</f>
        <v/>
      </c>
      <c r="Q43" s="1" t="str">
        <f ca="1">IFERROR(VLOOKUP($M43,База!$A:$BE,16,0),"")</f>
        <v/>
      </c>
      <c r="R43" s="1" t="str">
        <f ca="1">IFERROR(VLOOKUP($M43,База!$A:$BE,17,0),"")</f>
        <v/>
      </c>
      <c r="S43">
        <v>438</v>
      </c>
      <c r="U43" s="1" t="str">
        <f ca="1">IFERROR(VLOOKUP($S43,База!$A:$BE,10,0),"")</f>
        <v/>
      </c>
      <c r="V43" s="1" t="str">
        <f ca="1">IFERROR(VLOOKUP($S43,База!$A:$BE,13,0),"")</f>
        <v/>
      </c>
      <c r="W43" s="1" t="str">
        <f ca="1">IFERROR(VLOOKUP($S43,База!$A:$BE,16,0),"")</f>
        <v/>
      </c>
      <c r="X43" s="1" t="str">
        <f ca="1">IFERROR(VLOOKUP($S43,База!$A:$BE,17,0),"")</f>
        <v/>
      </c>
      <c r="Y43" s="5">
        <v>538</v>
      </c>
      <c r="AA43" s="1" t="str">
        <f ca="1">IFERROR(VLOOKUP($Y43,База!$A:$BE,10,0),"")</f>
        <v/>
      </c>
      <c r="AB43" s="1" t="str">
        <f ca="1">IFERROR(VLOOKUP($Y43,База!$A:$BE,13,0),"")</f>
        <v/>
      </c>
      <c r="AC43" s="1" t="str">
        <f ca="1">IFERROR(VLOOKUP($Y43,База!$A:$BE,16,0),"")</f>
        <v/>
      </c>
      <c r="AD43" s="1" t="str">
        <f ca="1">IFERROR(VLOOKUP($Y43,База!$A:$BE,17,0),"")</f>
        <v/>
      </c>
      <c r="AE43" s="5">
        <v>638</v>
      </c>
      <c r="AG43" s="1" t="str">
        <f ca="1">IFERROR(VLOOKUP($AE43,База!$A:$BE,10,0),"")</f>
        <v/>
      </c>
      <c r="AH43" s="1" t="str">
        <f ca="1">IFERROR(VLOOKUP($AE43,База!$A:$BE,13,0),"")</f>
        <v/>
      </c>
      <c r="AI43" s="1" t="str">
        <f ca="1">IFERROR(VLOOKUP($AE43,База!$A:$BE,16,0),"")</f>
        <v/>
      </c>
      <c r="AJ43" s="1" t="str">
        <f ca="1">IFERROR(VLOOKUP($AE43,База!$A:$BE,17,0),"")</f>
        <v/>
      </c>
      <c r="AK43" s="5">
        <v>738</v>
      </c>
      <c r="AM43" s="1" t="str">
        <f ca="1">IFERROR(VLOOKUP($AK43,База!$A:$BE,10,0),"")</f>
        <v/>
      </c>
      <c r="AN43" s="1" t="str">
        <f ca="1">IFERROR(VLOOKUP($AK43,База!$A:$BE,13,0),"")</f>
        <v/>
      </c>
      <c r="AO43" s="1" t="str">
        <f ca="1">IFERROR(VLOOKUP($AK43,База!$A:$BE,16,0),"")</f>
        <v/>
      </c>
      <c r="AP43" s="1" t="str">
        <f ca="1">IFERROR(VLOOKUP($AK43,База!$A:$BE,17,0),"")</f>
        <v/>
      </c>
      <c r="AQ43" s="5">
        <v>838</v>
      </c>
      <c r="AS43" s="1" t="str">
        <f ca="1">IFERROR(VLOOKUP($AQ43,База!$A:$BE,10,0),"")</f>
        <v/>
      </c>
      <c r="AT43" s="1" t="str">
        <f ca="1">IFERROR(VLOOKUP($AQ43,База!$A:$BE,13,0),"")</f>
        <v/>
      </c>
      <c r="AU43" s="1" t="str">
        <f ca="1">IFERROR(VLOOKUP($AQ43,База!$A:$BE,16,0),"")</f>
        <v/>
      </c>
      <c r="AV43" s="1" t="str">
        <f ca="1">IFERROR(VLOOKUP($AQ43,База!$A:$BE,17,0),"")</f>
        <v/>
      </c>
    </row>
    <row r="44" spans="1:48" x14ac:dyDescent="0.25">
      <c r="A44" t="s">
        <v>45</v>
      </c>
      <c r="B44" s="1" t="str">
        <f ca="1">IFERROR(VLOOKUP($A44,База!$A:$BE,10,0),"")</f>
        <v/>
      </c>
      <c r="C44" s="1" t="str">
        <f ca="1">IFERROR(VLOOKUP($A44,База!$A:$BE,13,0),"")</f>
        <v/>
      </c>
      <c r="D44" s="1" t="str">
        <f ca="1">IFERROR(VLOOKUP($A44,База!$A:$BE,16,0),"")</f>
        <v/>
      </c>
      <c r="E44" s="1" t="str">
        <f ca="1">IFERROR(VLOOKUP($A44,База!$A:$BE,17,0),"")</f>
        <v/>
      </c>
      <c r="F44">
        <v>239</v>
      </c>
      <c r="I44" s="1" t="str">
        <f ca="1">IFERROR(VLOOKUP($F44,База!$A:$BE,10,0),"")</f>
        <v/>
      </c>
      <c r="J44" s="1" t="str">
        <f ca="1">IFERROR(VLOOKUP($F44,База!$A:$BE,13,0),"")</f>
        <v/>
      </c>
      <c r="K44" s="1" t="str">
        <f ca="1">IFERROR(VLOOKUP($F44,База!$A:$BE,16,0),"")</f>
        <v/>
      </c>
      <c r="L44" s="1" t="str">
        <f ca="1">IFERROR(VLOOKUP($F44,База!$A:$BE,17,0),"")</f>
        <v/>
      </c>
      <c r="M44">
        <v>339</v>
      </c>
      <c r="O44" s="1" t="str">
        <f ca="1">IFERROR(VLOOKUP($M44,База!$A:$BE,10,0),"")</f>
        <v/>
      </c>
      <c r="P44" s="1" t="str">
        <f ca="1">IFERROR(VLOOKUP($M44,База!$A:$BE,13,0),"")</f>
        <v/>
      </c>
      <c r="Q44" s="1" t="str">
        <f ca="1">IFERROR(VLOOKUP($M44,База!$A:$BE,16,0),"")</f>
        <v/>
      </c>
      <c r="R44" s="1" t="str">
        <f ca="1">IFERROR(VLOOKUP($M44,База!$A:$BE,17,0),"")</f>
        <v/>
      </c>
      <c r="S44">
        <v>439</v>
      </c>
      <c r="U44" s="1" t="str">
        <f ca="1">IFERROR(VLOOKUP($S44,База!$A:$BE,10,0),"")</f>
        <v/>
      </c>
      <c r="V44" s="1" t="str">
        <f ca="1">IFERROR(VLOOKUP($S44,База!$A:$BE,13,0),"")</f>
        <v/>
      </c>
      <c r="W44" s="1" t="str">
        <f ca="1">IFERROR(VLOOKUP($S44,База!$A:$BE,16,0),"")</f>
        <v/>
      </c>
      <c r="X44" s="1" t="str">
        <f ca="1">IFERROR(VLOOKUP($S44,База!$A:$BE,17,0),"")</f>
        <v/>
      </c>
      <c r="Y44" s="5">
        <v>539</v>
      </c>
      <c r="AA44" s="1" t="str">
        <f ca="1">IFERROR(VLOOKUP($Y44,База!$A:$BE,10,0),"")</f>
        <v/>
      </c>
      <c r="AB44" s="1" t="str">
        <f ca="1">IFERROR(VLOOKUP($Y44,База!$A:$BE,13,0),"")</f>
        <v/>
      </c>
      <c r="AC44" s="1" t="str">
        <f ca="1">IFERROR(VLOOKUP($Y44,База!$A:$BE,16,0),"")</f>
        <v/>
      </c>
      <c r="AD44" s="1" t="str">
        <f ca="1">IFERROR(VLOOKUP($Y44,База!$A:$BE,17,0),"")</f>
        <v/>
      </c>
      <c r="AE44" s="5">
        <v>639</v>
      </c>
      <c r="AG44" s="1" t="str">
        <f ca="1">IFERROR(VLOOKUP($AE44,База!$A:$BE,10,0),"")</f>
        <v/>
      </c>
      <c r="AH44" s="1" t="str">
        <f ca="1">IFERROR(VLOOKUP($AE44,База!$A:$BE,13,0),"")</f>
        <v/>
      </c>
      <c r="AI44" s="1" t="str">
        <f ca="1">IFERROR(VLOOKUP($AE44,База!$A:$BE,16,0),"")</f>
        <v/>
      </c>
      <c r="AJ44" s="1" t="str">
        <f ca="1">IFERROR(VLOOKUP($AE44,База!$A:$BE,17,0),"")</f>
        <v/>
      </c>
      <c r="AK44" s="5">
        <v>739</v>
      </c>
      <c r="AM44" s="1" t="str">
        <f ca="1">IFERROR(VLOOKUP($AK44,База!$A:$BE,10,0),"")</f>
        <v/>
      </c>
      <c r="AN44" s="1" t="str">
        <f ca="1">IFERROR(VLOOKUP($AK44,База!$A:$BE,13,0),"")</f>
        <v/>
      </c>
      <c r="AO44" s="1" t="str">
        <f ca="1">IFERROR(VLOOKUP($AK44,База!$A:$BE,16,0),"")</f>
        <v/>
      </c>
      <c r="AP44" s="1" t="str">
        <f ca="1">IFERROR(VLOOKUP($AK44,База!$A:$BE,17,0),"")</f>
        <v/>
      </c>
      <c r="AQ44" s="5">
        <v>839</v>
      </c>
      <c r="AS44" s="1" t="str">
        <f ca="1">IFERROR(VLOOKUP($AQ44,База!$A:$BE,10,0),"")</f>
        <v/>
      </c>
      <c r="AT44" s="1" t="str">
        <f ca="1">IFERROR(VLOOKUP($AQ44,База!$A:$BE,13,0),"")</f>
        <v/>
      </c>
      <c r="AU44" s="1" t="str">
        <f ca="1">IFERROR(VLOOKUP($AQ44,База!$A:$BE,16,0),"")</f>
        <v/>
      </c>
      <c r="AV44" s="1" t="str">
        <f ca="1">IFERROR(VLOOKUP($AQ44,База!$A:$BE,17,0),"")</f>
        <v/>
      </c>
    </row>
    <row r="45" spans="1:48" x14ac:dyDescent="0.25">
      <c r="A45" t="s">
        <v>46</v>
      </c>
      <c r="B45" s="1" t="str">
        <f ca="1">IFERROR(VLOOKUP($A45,База!$A:$BE,10,0),"")</f>
        <v/>
      </c>
      <c r="C45" s="1" t="str">
        <f ca="1">IFERROR(VLOOKUP($A45,База!$A:$BE,13,0),"")</f>
        <v/>
      </c>
      <c r="D45" s="1" t="str">
        <f ca="1">IFERROR(VLOOKUP($A45,База!$A:$BE,16,0),"")</f>
        <v/>
      </c>
      <c r="E45" s="1" t="str">
        <f ca="1">IFERROR(VLOOKUP($A45,База!$A:$BE,17,0),"")</f>
        <v/>
      </c>
      <c r="F45">
        <v>240</v>
      </c>
      <c r="I45" s="1" t="str">
        <f ca="1">IFERROR(VLOOKUP($F45,База!$A:$BE,10,0),"")</f>
        <v/>
      </c>
      <c r="J45" s="1" t="str">
        <f ca="1">IFERROR(VLOOKUP($F45,База!$A:$BE,13,0),"")</f>
        <v/>
      </c>
      <c r="K45" s="1" t="str">
        <f ca="1">IFERROR(VLOOKUP($F45,База!$A:$BE,16,0),"")</f>
        <v/>
      </c>
      <c r="L45" s="1" t="str">
        <f ca="1">IFERROR(VLOOKUP($F45,База!$A:$BE,17,0),"")</f>
        <v/>
      </c>
      <c r="M45">
        <v>340</v>
      </c>
      <c r="O45" s="1" t="str">
        <f ca="1">IFERROR(VLOOKUP($M45,База!$A:$BE,10,0),"")</f>
        <v/>
      </c>
      <c r="P45" s="1" t="str">
        <f ca="1">IFERROR(VLOOKUP($M45,База!$A:$BE,13,0),"")</f>
        <v/>
      </c>
      <c r="Q45" s="1" t="str">
        <f ca="1">IFERROR(VLOOKUP($M45,База!$A:$BE,16,0),"")</f>
        <v/>
      </c>
      <c r="R45" s="1" t="str">
        <f ca="1">IFERROR(VLOOKUP($M45,База!$A:$BE,17,0),"")</f>
        <v/>
      </c>
      <c r="S45">
        <v>440</v>
      </c>
      <c r="U45" s="1" t="str">
        <f ca="1">IFERROR(VLOOKUP($S45,База!$A:$BE,10,0),"")</f>
        <v/>
      </c>
      <c r="V45" s="1" t="str">
        <f ca="1">IFERROR(VLOOKUP($S45,База!$A:$BE,13,0),"")</f>
        <v/>
      </c>
      <c r="W45" s="1" t="str">
        <f ca="1">IFERROR(VLOOKUP($S45,База!$A:$BE,16,0),"")</f>
        <v/>
      </c>
      <c r="X45" s="1" t="str">
        <f ca="1">IFERROR(VLOOKUP($S45,База!$A:$BE,17,0),"")</f>
        <v/>
      </c>
      <c r="Y45" s="5">
        <v>540</v>
      </c>
      <c r="AA45" s="1" t="str">
        <f ca="1">IFERROR(VLOOKUP($Y45,База!$A:$BE,10,0),"")</f>
        <v/>
      </c>
      <c r="AB45" s="1" t="str">
        <f ca="1">IFERROR(VLOOKUP($Y45,База!$A:$BE,13,0),"")</f>
        <v/>
      </c>
      <c r="AC45" s="1" t="str">
        <f ca="1">IFERROR(VLOOKUP($Y45,База!$A:$BE,16,0),"")</f>
        <v/>
      </c>
      <c r="AD45" s="1" t="str">
        <f ca="1">IFERROR(VLOOKUP($Y45,База!$A:$BE,17,0),"")</f>
        <v/>
      </c>
      <c r="AE45" s="5">
        <v>640</v>
      </c>
      <c r="AG45" s="1" t="str">
        <f ca="1">IFERROR(VLOOKUP($AE45,База!$A:$BE,10,0),"")</f>
        <v/>
      </c>
      <c r="AH45" s="1" t="str">
        <f ca="1">IFERROR(VLOOKUP($AE45,База!$A:$BE,13,0),"")</f>
        <v/>
      </c>
      <c r="AI45" s="1" t="str">
        <f ca="1">IFERROR(VLOOKUP($AE45,База!$A:$BE,16,0),"")</f>
        <v/>
      </c>
      <c r="AJ45" s="1" t="str">
        <f ca="1">IFERROR(VLOOKUP($AE45,База!$A:$BE,17,0),"")</f>
        <v/>
      </c>
      <c r="AK45" s="5">
        <v>740</v>
      </c>
      <c r="AM45" s="1" t="str">
        <f ca="1">IFERROR(VLOOKUP($AK45,База!$A:$BE,10,0),"")</f>
        <v/>
      </c>
      <c r="AN45" s="1" t="str">
        <f ca="1">IFERROR(VLOOKUP($AK45,База!$A:$BE,13,0),"")</f>
        <v/>
      </c>
      <c r="AO45" s="1" t="str">
        <f ca="1">IFERROR(VLOOKUP($AK45,База!$A:$BE,16,0),"")</f>
        <v/>
      </c>
      <c r="AP45" s="1" t="str">
        <f ca="1">IFERROR(VLOOKUP($AK45,База!$A:$BE,17,0),"")</f>
        <v/>
      </c>
      <c r="AQ45" s="5">
        <v>840</v>
      </c>
      <c r="AS45" s="1" t="str">
        <f ca="1">IFERROR(VLOOKUP($AQ45,База!$A:$BE,10,0),"")</f>
        <v/>
      </c>
      <c r="AT45" s="1" t="str">
        <f ca="1">IFERROR(VLOOKUP($AQ45,База!$A:$BE,13,0),"")</f>
        <v/>
      </c>
      <c r="AU45" s="1" t="str">
        <f ca="1">IFERROR(VLOOKUP($AQ45,База!$A:$BE,16,0),"")</f>
        <v/>
      </c>
      <c r="AV45" s="1" t="str">
        <f ca="1">IFERROR(VLOOKUP($AQ45,База!$A:$BE,17,0),"")</f>
        <v/>
      </c>
    </row>
    <row r="46" spans="1:48" x14ac:dyDescent="0.25">
      <c r="A46" t="s">
        <v>47</v>
      </c>
      <c r="B46" s="1" t="str">
        <f ca="1">IFERROR(VLOOKUP($A46,База!$A:$BE,10,0),"")</f>
        <v/>
      </c>
      <c r="C46" s="1" t="str">
        <f ca="1">IFERROR(VLOOKUP($A46,База!$A:$BE,13,0),"")</f>
        <v/>
      </c>
      <c r="D46" s="1" t="str">
        <f ca="1">IFERROR(VLOOKUP($A46,База!$A:$BE,16,0),"")</f>
        <v/>
      </c>
      <c r="E46" s="1" t="str">
        <f ca="1">IFERROR(VLOOKUP($A46,База!$A:$BE,17,0),"")</f>
        <v/>
      </c>
      <c r="F46">
        <v>241</v>
      </c>
      <c r="I46" s="1" t="str">
        <f ca="1">IFERROR(VLOOKUP($F46,База!$A:$BE,10,0),"")</f>
        <v/>
      </c>
      <c r="J46" s="1" t="str">
        <f ca="1">IFERROR(VLOOKUP($F46,База!$A:$BE,13,0),"")</f>
        <v/>
      </c>
      <c r="K46" s="1" t="str">
        <f ca="1">IFERROR(VLOOKUP($F46,База!$A:$BE,16,0),"")</f>
        <v/>
      </c>
      <c r="L46" s="1" t="str">
        <f ca="1">IFERROR(VLOOKUP($F46,База!$A:$BE,17,0),"")</f>
        <v/>
      </c>
      <c r="M46">
        <v>341</v>
      </c>
      <c r="O46" s="1" t="str">
        <f ca="1">IFERROR(VLOOKUP($M46,База!$A:$BE,10,0),"")</f>
        <v/>
      </c>
      <c r="P46" s="1" t="str">
        <f ca="1">IFERROR(VLOOKUP($M46,База!$A:$BE,13,0),"")</f>
        <v/>
      </c>
      <c r="Q46" s="1" t="str">
        <f ca="1">IFERROR(VLOOKUP($M46,База!$A:$BE,16,0),"")</f>
        <v/>
      </c>
      <c r="R46" s="1" t="str">
        <f ca="1">IFERROR(VLOOKUP($M46,База!$A:$BE,17,0),"")</f>
        <v/>
      </c>
      <c r="S46">
        <v>441</v>
      </c>
      <c r="U46" s="1" t="str">
        <f ca="1">IFERROR(VLOOKUP($S46,База!$A:$BE,10,0),"")</f>
        <v/>
      </c>
      <c r="V46" s="1" t="str">
        <f ca="1">IFERROR(VLOOKUP($S46,База!$A:$BE,13,0),"")</f>
        <v/>
      </c>
      <c r="W46" s="1" t="str">
        <f ca="1">IFERROR(VLOOKUP($S46,База!$A:$BE,16,0),"")</f>
        <v/>
      </c>
      <c r="X46" s="1" t="str">
        <f ca="1">IFERROR(VLOOKUP($S46,База!$A:$BE,17,0),"")</f>
        <v/>
      </c>
      <c r="Y46" s="5">
        <v>541</v>
      </c>
      <c r="AA46" s="1" t="str">
        <f ca="1">IFERROR(VLOOKUP($Y46,База!$A:$BE,10,0),"")</f>
        <v/>
      </c>
      <c r="AB46" s="1" t="str">
        <f ca="1">IFERROR(VLOOKUP($Y46,База!$A:$BE,13,0),"")</f>
        <v/>
      </c>
      <c r="AC46" s="1" t="str">
        <f ca="1">IFERROR(VLOOKUP($Y46,База!$A:$BE,16,0),"")</f>
        <v/>
      </c>
      <c r="AD46" s="1" t="str">
        <f ca="1">IFERROR(VLOOKUP($Y46,База!$A:$BE,17,0),"")</f>
        <v/>
      </c>
      <c r="AE46" s="5">
        <v>641</v>
      </c>
      <c r="AG46" s="1" t="str">
        <f ca="1">IFERROR(VLOOKUP($AE46,База!$A:$BE,10,0),"")</f>
        <v/>
      </c>
      <c r="AH46" s="1" t="str">
        <f ca="1">IFERROR(VLOOKUP($AE46,База!$A:$BE,13,0),"")</f>
        <v/>
      </c>
      <c r="AI46" s="1" t="str">
        <f ca="1">IFERROR(VLOOKUP($AE46,База!$A:$BE,16,0),"")</f>
        <v/>
      </c>
      <c r="AJ46" s="1" t="str">
        <f ca="1">IFERROR(VLOOKUP($AE46,База!$A:$BE,17,0),"")</f>
        <v/>
      </c>
      <c r="AK46" s="5">
        <v>741</v>
      </c>
      <c r="AM46" s="1" t="str">
        <f ca="1">IFERROR(VLOOKUP($AK46,База!$A:$BE,10,0),"")</f>
        <v/>
      </c>
      <c r="AN46" s="1" t="str">
        <f ca="1">IFERROR(VLOOKUP($AK46,База!$A:$BE,13,0),"")</f>
        <v/>
      </c>
      <c r="AO46" s="1" t="str">
        <f ca="1">IFERROR(VLOOKUP($AK46,База!$A:$BE,16,0),"")</f>
        <v/>
      </c>
      <c r="AP46" s="1" t="str">
        <f ca="1">IFERROR(VLOOKUP($AK46,База!$A:$BE,17,0),"")</f>
        <v/>
      </c>
      <c r="AQ46" s="5">
        <v>841</v>
      </c>
      <c r="AS46" s="1" t="str">
        <f ca="1">IFERROR(VLOOKUP($AQ46,База!$A:$BE,10,0),"")</f>
        <v/>
      </c>
      <c r="AT46" s="1" t="str">
        <f ca="1">IFERROR(VLOOKUP($AQ46,База!$A:$BE,13,0),"")</f>
        <v/>
      </c>
      <c r="AU46" s="1" t="str">
        <f ca="1">IFERROR(VLOOKUP($AQ46,База!$A:$BE,16,0),"")</f>
        <v/>
      </c>
      <c r="AV46" s="1" t="str">
        <f ca="1">IFERROR(VLOOKUP($AQ46,База!$A:$BE,17,0),"")</f>
        <v/>
      </c>
    </row>
    <row r="47" spans="1:48" x14ac:dyDescent="0.25">
      <c r="A47" t="s">
        <v>48</v>
      </c>
      <c r="B47" s="1" t="str">
        <f ca="1">IFERROR(VLOOKUP($A47,База!$A:$BE,10,0),"")</f>
        <v/>
      </c>
      <c r="C47" s="1" t="str">
        <f ca="1">IFERROR(VLOOKUP($A47,База!$A:$BE,13,0),"")</f>
        <v/>
      </c>
      <c r="D47" s="1" t="str">
        <f ca="1">IFERROR(VLOOKUP($A47,База!$A:$BE,16,0),"")</f>
        <v/>
      </c>
      <c r="E47" s="1" t="str">
        <f ca="1">IFERROR(VLOOKUP($A47,База!$A:$BE,17,0),"")</f>
        <v/>
      </c>
      <c r="F47">
        <v>242</v>
      </c>
      <c r="I47" s="1" t="str">
        <f ca="1">IFERROR(VLOOKUP($F47,База!$A:$BE,10,0),"")</f>
        <v/>
      </c>
      <c r="J47" s="1" t="str">
        <f ca="1">IFERROR(VLOOKUP($F47,База!$A:$BE,13,0),"")</f>
        <v/>
      </c>
      <c r="K47" s="1" t="str">
        <f ca="1">IFERROR(VLOOKUP($F47,База!$A:$BE,16,0),"")</f>
        <v/>
      </c>
      <c r="L47" s="1" t="str">
        <f ca="1">IFERROR(VLOOKUP($F47,База!$A:$BE,17,0),"")</f>
        <v/>
      </c>
      <c r="M47">
        <v>342</v>
      </c>
      <c r="O47" s="1" t="str">
        <f ca="1">IFERROR(VLOOKUP($M47,База!$A:$BE,10,0),"")</f>
        <v/>
      </c>
      <c r="P47" s="1" t="str">
        <f ca="1">IFERROR(VLOOKUP($M47,База!$A:$BE,13,0),"")</f>
        <v/>
      </c>
      <c r="Q47" s="1" t="str">
        <f ca="1">IFERROR(VLOOKUP($M47,База!$A:$BE,16,0),"")</f>
        <v/>
      </c>
      <c r="R47" s="1" t="str">
        <f ca="1">IFERROR(VLOOKUP($M47,База!$A:$BE,17,0),"")</f>
        <v/>
      </c>
      <c r="S47">
        <v>442</v>
      </c>
      <c r="U47" s="1" t="str">
        <f ca="1">IFERROR(VLOOKUP($S47,База!$A:$BE,10,0),"")</f>
        <v/>
      </c>
      <c r="V47" s="1" t="str">
        <f ca="1">IFERROR(VLOOKUP($S47,База!$A:$BE,13,0),"")</f>
        <v/>
      </c>
      <c r="W47" s="1" t="str">
        <f ca="1">IFERROR(VLOOKUP($S47,База!$A:$BE,16,0),"")</f>
        <v/>
      </c>
      <c r="X47" s="1" t="str">
        <f ca="1">IFERROR(VLOOKUP($S47,База!$A:$BE,17,0),"")</f>
        <v/>
      </c>
      <c r="Y47" s="5">
        <v>542</v>
      </c>
      <c r="AA47" s="1" t="str">
        <f ca="1">IFERROR(VLOOKUP($Y47,База!$A:$BE,10,0),"")</f>
        <v/>
      </c>
      <c r="AB47" s="1" t="str">
        <f ca="1">IFERROR(VLOOKUP($Y47,База!$A:$BE,13,0),"")</f>
        <v/>
      </c>
      <c r="AC47" s="1" t="str">
        <f ca="1">IFERROR(VLOOKUP($Y47,База!$A:$BE,16,0),"")</f>
        <v/>
      </c>
      <c r="AD47" s="1" t="str">
        <f ca="1">IFERROR(VLOOKUP($Y47,База!$A:$BE,17,0),"")</f>
        <v/>
      </c>
      <c r="AE47" s="5">
        <v>642</v>
      </c>
      <c r="AG47" s="1" t="str">
        <f ca="1">IFERROR(VLOOKUP($AE47,База!$A:$BE,10,0),"")</f>
        <v/>
      </c>
      <c r="AH47" s="1" t="str">
        <f ca="1">IFERROR(VLOOKUP($AE47,База!$A:$BE,13,0),"")</f>
        <v/>
      </c>
      <c r="AI47" s="1" t="str">
        <f ca="1">IFERROR(VLOOKUP($AE47,База!$A:$BE,16,0),"")</f>
        <v/>
      </c>
      <c r="AJ47" s="1" t="str">
        <f ca="1">IFERROR(VLOOKUP($AE47,База!$A:$BE,17,0),"")</f>
        <v/>
      </c>
      <c r="AK47" s="5">
        <v>742</v>
      </c>
      <c r="AM47" s="1" t="str">
        <f ca="1">IFERROR(VLOOKUP($AK47,База!$A:$BE,10,0),"")</f>
        <v/>
      </c>
      <c r="AN47" s="1" t="str">
        <f ca="1">IFERROR(VLOOKUP($AK47,База!$A:$BE,13,0),"")</f>
        <v/>
      </c>
      <c r="AO47" s="1" t="str">
        <f ca="1">IFERROR(VLOOKUP($AK47,База!$A:$BE,16,0),"")</f>
        <v/>
      </c>
      <c r="AP47" s="1" t="str">
        <f ca="1">IFERROR(VLOOKUP($AK47,База!$A:$BE,17,0),"")</f>
        <v/>
      </c>
      <c r="AQ47" s="5">
        <v>842</v>
      </c>
      <c r="AS47" s="1" t="str">
        <f ca="1">IFERROR(VLOOKUP($AQ47,База!$A:$BE,10,0),"")</f>
        <v/>
      </c>
      <c r="AT47" s="1" t="str">
        <f ca="1">IFERROR(VLOOKUP($AQ47,База!$A:$BE,13,0),"")</f>
        <v/>
      </c>
      <c r="AU47" s="1" t="str">
        <f ca="1">IFERROR(VLOOKUP($AQ47,База!$A:$BE,16,0),"")</f>
        <v/>
      </c>
      <c r="AV47" s="1" t="str">
        <f ca="1">IFERROR(VLOOKUP($AQ47,База!$A:$BE,17,0),"")</f>
        <v/>
      </c>
    </row>
    <row r="48" spans="1:48" x14ac:dyDescent="0.25">
      <c r="A48" t="s">
        <v>49</v>
      </c>
      <c r="B48" s="1" t="str">
        <f ca="1">IFERROR(VLOOKUP($A48,База!$A:$BE,10,0),"")</f>
        <v/>
      </c>
      <c r="C48" s="1" t="str">
        <f ca="1">IFERROR(VLOOKUP($A48,База!$A:$BE,13,0),"")</f>
        <v/>
      </c>
      <c r="D48" s="1" t="str">
        <f ca="1">IFERROR(VLOOKUP($A48,База!$A:$BE,16,0),"")</f>
        <v/>
      </c>
      <c r="E48" s="1" t="str">
        <f ca="1">IFERROR(VLOOKUP($A48,База!$A:$BE,17,0),"")</f>
        <v/>
      </c>
      <c r="F48">
        <v>243</v>
      </c>
      <c r="I48" s="1" t="str">
        <f ca="1">IFERROR(VLOOKUP($F48,База!$A:$BE,10,0),"")</f>
        <v/>
      </c>
      <c r="J48" s="1" t="str">
        <f ca="1">IFERROR(VLOOKUP($F48,База!$A:$BE,13,0),"")</f>
        <v/>
      </c>
      <c r="K48" s="1" t="str">
        <f ca="1">IFERROR(VLOOKUP($F48,База!$A:$BE,16,0),"")</f>
        <v/>
      </c>
      <c r="L48" s="1" t="str">
        <f ca="1">IFERROR(VLOOKUP($F48,База!$A:$BE,17,0),"")</f>
        <v/>
      </c>
      <c r="M48">
        <v>343</v>
      </c>
      <c r="O48" s="1" t="str">
        <f ca="1">IFERROR(VLOOKUP($M48,База!$A:$BE,10,0),"")</f>
        <v/>
      </c>
      <c r="P48" s="1" t="str">
        <f ca="1">IFERROR(VLOOKUP($M48,База!$A:$BE,13,0),"")</f>
        <v/>
      </c>
      <c r="Q48" s="1" t="str">
        <f ca="1">IFERROR(VLOOKUP($M48,База!$A:$BE,16,0),"")</f>
        <v/>
      </c>
      <c r="R48" s="1" t="str">
        <f ca="1">IFERROR(VLOOKUP($M48,База!$A:$BE,17,0),"")</f>
        <v/>
      </c>
      <c r="S48">
        <v>443</v>
      </c>
      <c r="U48" s="1" t="str">
        <f ca="1">IFERROR(VLOOKUP($S48,База!$A:$BE,10,0),"")</f>
        <v/>
      </c>
      <c r="V48" s="1" t="str">
        <f ca="1">IFERROR(VLOOKUP($S48,База!$A:$BE,13,0),"")</f>
        <v/>
      </c>
      <c r="W48" s="1" t="str">
        <f ca="1">IFERROR(VLOOKUP($S48,База!$A:$BE,16,0),"")</f>
        <v/>
      </c>
      <c r="X48" s="1" t="str">
        <f ca="1">IFERROR(VLOOKUP($S48,База!$A:$BE,17,0),"")</f>
        <v/>
      </c>
      <c r="Y48" s="5">
        <v>543</v>
      </c>
      <c r="AA48" s="1" t="str">
        <f ca="1">IFERROR(VLOOKUP($Y48,База!$A:$BE,10,0),"")</f>
        <v/>
      </c>
      <c r="AB48" s="1" t="str">
        <f ca="1">IFERROR(VLOOKUP($Y48,База!$A:$BE,13,0),"")</f>
        <v/>
      </c>
      <c r="AC48" s="1" t="str">
        <f ca="1">IFERROR(VLOOKUP($Y48,База!$A:$BE,16,0),"")</f>
        <v/>
      </c>
      <c r="AD48" s="1" t="str">
        <f ca="1">IFERROR(VLOOKUP($Y48,База!$A:$BE,17,0),"")</f>
        <v/>
      </c>
      <c r="AE48" s="5">
        <v>643</v>
      </c>
      <c r="AG48" s="1" t="str">
        <f ca="1">IFERROR(VLOOKUP($AE48,База!$A:$BE,10,0),"")</f>
        <v/>
      </c>
      <c r="AH48" s="1" t="str">
        <f ca="1">IFERROR(VLOOKUP($AE48,База!$A:$BE,13,0),"")</f>
        <v/>
      </c>
      <c r="AI48" s="1" t="str">
        <f ca="1">IFERROR(VLOOKUP($AE48,База!$A:$BE,16,0),"")</f>
        <v/>
      </c>
      <c r="AJ48" s="1" t="str">
        <f ca="1">IFERROR(VLOOKUP($AE48,База!$A:$BE,17,0),"")</f>
        <v/>
      </c>
      <c r="AK48" s="5">
        <v>743</v>
      </c>
      <c r="AM48" s="1" t="str">
        <f ca="1">IFERROR(VLOOKUP($AK48,База!$A:$BE,10,0),"")</f>
        <v/>
      </c>
      <c r="AN48" s="1" t="str">
        <f ca="1">IFERROR(VLOOKUP($AK48,База!$A:$BE,13,0),"")</f>
        <v/>
      </c>
      <c r="AO48" s="1" t="str">
        <f ca="1">IFERROR(VLOOKUP($AK48,База!$A:$BE,16,0),"")</f>
        <v/>
      </c>
      <c r="AP48" s="1" t="str">
        <f ca="1">IFERROR(VLOOKUP($AK48,База!$A:$BE,17,0),"")</f>
        <v/>
      </c>
      <c r="AQ48" s="5">
        <v>843</v>
      </c>
      <c r="AS48" s="1" t="str">
        <f ca="1">IFERROR(VLOOKUP($AQ48,База!$A:$BE,10,0),"")</f>
        <v/>
      </c>
      <c r="AT48" s="1" t="str">
        <f ca="1">IFERROR(VLOOKUP($AQ48,База!$A:$BE,13,0),"")</f>
        <v/>
      </c>
      <c r="AU48" s="1" t="str">
        <f ca="1">IFERROR(VLOOKUP($AQ48,База!$A:$BE,16,0),"")</f>
        <v/>
      </c>
      <c r="AV48" s="1" t="str">
        <f ca="1">IFERROR(VLOOKUP($AQ48,База!$A:$BE,17,0),"")</f>
        <v/>
      </c>
    </row>
    <row r="49" spans="1:48" x14ac:dyDescent="0.25">
      <c r="A49" t="s">
        <v>50</v>
      </c>
      <c r="B49" s="1" t="str">
        <f ca="1">IFERROR(VLOOKUP($A49,База!$A:$BE,10,0),"")</f>
        <v/>
      </c>
      <c r="C49" s="1" t="str">
        <f ca="1">IFERROR(VLOOKUP($A49,База!$A:$BE,13,0),"")</f>
        <v/>
      </c>
      <c r="D49" s="1" t="str">
        <f ca="1">IFERROR(VLOOKUP($A49,База!$A:$BE,16,0),"")</f>
        <v/>
      </c>
      <c r="E49" s="1" t="str">
        <f ca="1">IFERROR(VLOOKUP($A49,База!$A:$BE,17,0),"")</f>
        <v/>
      </c>
      <c r="F49">
        <v>244</v>
      </c>
      <c r="I49" s="1" t="str">
        <f ca="1">IFERROR(VLOOKUP($F49,База!$A:$BE,10,0),"")</f>
        <v/>
      </c>
      <c r="J49" s="1" t="str">
        <f ca="1">IFERROR(VLOOKUP($F49,База!$A:$BE,13,0),"")</f>
        <v/>
      </c>
      <c r="K49" s="1" t="str">
        <f ca="1">IFERROR(VLOOKUP($F49,База!$A:$BE,16,0),"")</f>
        <v/>
      </c>
      <c r="L49" s="1" t="str">
        <f ca="1">IFERROR(VLOOKUP($F49,База!$A:$BE,17,0),"")</f>
        <v/>
      </c>
      <c r="M49">
        <v>344</v>
      </c>
      <c r="O49" s="1" t="str">
        <f ca="1">IFERROR(VLOOKUP($M49,База!$A:$BE,10,0),"")</f>
        <v/>
      </c>
      <c r="P49" s="1" t="str">
        <f ca="1">IFERROR(VLOOKUP($M49,База!$A:$BE,13,0),"")</f>
        <v/>
      </c>
      <c r="Q49" s="1" t="str">
        <f ca="1">IFERROR(VLOOKUP($M49,База!$A:$BE,16,0),"")</f>
        <v/>
      </c>
      <c r="R49" s="1" t="str">
        <f ca="1">IFERROR(VLOOKUP($M49,База!$A:$BE,17,0),"")</f>
        <v/>
      </c>
      <c r="S49">
        <v>444</v>
      </c>
      <c r="U49" s="1" t="str">
        <f ca="1">IFERROR(VLOOKUP($S49,База!$A:$BE,10,0),"")</f>
        <v/>
      </c>
      <c r="V49" s="1" t="str">
        <f ca="1">IFERROR(VLOOKUP($S49,База!$A:$BE,13,0),"")</f>
        <v/>
      </c>
      <c r="W49" s="1" t="str">
        <f ca="1">IFERROR(VLOOKUP($S49,База!$A:$BE,16,0),"")</f>
        <v/>
      </c>
      <c r="X49" s="1" t="str">
        <f ca="1">IFERROR(VLOOKUP($S49,База!$A:$BE,17,0),"")</f>
        <v/>
      </c>
      <c r="Y49" s="5">
        <v>544</v>
      </c>
      <c r="AA49" s="1" t="str">
        <f ca="1">IFERROR(VLOOKUP($Y49,База!$A:$BE,10,0),"")</f>
        <v/>
      </c>
      <c r="AB49" s="1" t="str">
        <f ca="1">IFERROR(VLOOKUP($Y49,База!$A:$BE,13,0),"")</f>
        <v/>
      </c>
      <c r="AC49" s="1" t="str">
        <f ca="1">IFERROR(VLOOKUP($Y49,База!$A:$BE,16,0),"")</f>
        <v/>
      </c>
      <c r="AD49" s="1" t="str">
        <f ca="1">IFERROR(VLOOKUP($Y49,База!$A:$BE,17,0),"")</f>
        <v/>
      </c>
      <c r="AE49" s="5">
        <v>644</v>
      </c>
      <c r="AG49" s="1" t="str">
        <f ca="1">IFERROR(VLOOKUP($AE49,База!$A:$BE,10,0),"")</f>
        <v/>
      </c>
      <c r="AH49" s="1" t="str">
        <f ca="1">IFERROR(VLOOKUP($AE49,База!$A:$BE,13,0),"")</f>
        <v/>
      </c>
      <c r="AI49" s="1" t="str">
        <f ca="1">IFERROR(VLOOKUP($AE49,База!$A:$BE,16,0),"")</f>
        <v/>
      </c>
      <c r="AJ49" s="1" t="str">
        <f ca="1">IFERROR(VLOOKUP($AE49,База!$A:$BE,17,0),"")</f>
        <v/>
      </c>
      <c r="AK49" s="5">
        <v>744</v>
      </c>
      <c r="AM49" s="1" t="str">
        <f ca="1">IFERROR(VLOOKUP($AK49,База!$A:$BE,10,0),"")</f>
        <v/>
      </c>
      <c r="AN49" s="1" t="str">
        <f ca="1">IFERROR(VLOOKUP($AK49,База!$A:$BE,13,0),"")</f>
        <v/>
      </c>
      <c r="AO49" s="1" t="str">
        <f ca="1">IFERROR(VLOOKUP($AK49,База!$A:$BE,16,0),"")</f>
        <v/>
      </c>
      <c r="AP49" s="1" t="str">
        <f ca="1">IFERROR(VLOOKUP($AK49,База!$A:$BE,17,0),"")</f>
        <v/>
      </c>
      <c r="AQ49" s="5">
        <v>844</v>
      </c>
      <c r="AS49" s="1" t="str">
        <f ca="1">IFERROR(VLOOKUP($AQ49,База!$A:$BE,10,0),"")</f>
        <v/>
      </c>
      <c r="AT49" s="1" t="str">
        <f ca="1">IFERROR(VLOOKUP($AQ49,База!$A:$BE,13,0),"")</f>
        <v/>
      </c>
      <c r="AU49" s="1" t="str">
        <f ca="1">IFERROR(VLOOKUP($AQ49,База!$A:$BE,16,0),"")</f>
        <v/>
      </c>
      <c r="AV49" s="1" t="str">
        <f ca="1">IFERROR(VLOOKUP($AQ49,База!$A:$BE,17,0),"")</f>
        <v/>
      </c>
    </row>
    <row r="50" spans="1:48" x14ac:dyDescent="0.25">
      <c r="A50" t="s">
        <v>51</v>
      </c>
      <c r="B50" s="1" t="str">
        <f ca="1">IFERROR(VLOOKUP($A50,База!$A:$BE,10,0),"")</f>
        <v/>
      </c>
      <c r="C50" s="1" t="str">
        <f ca="1">IFERROR(VLOOKUP($A50,База!$A:$BE,13,0),"")</f>
        <v/>
      </c>
      <c r="D50" s="1" t="str">
        <f ca="1">IFERROR(VLOOKUP($A50,База!$A:$BE,16,0),"")</f>
        <v/>
      </c>
      <c r="E50" s="1" t="str">
        <f ca="1">IFERROR(VLOOKUP($A50,База!$A:$BE,17,0),"")</f>
        <v/>
      </c>
      <c r="F50">
        <v>245</v>
      </c>
      <c r="I50" s="1" t="str">
        <f ca="1">IFERROR(VLOOKUP($F50,База!$A:$BE,10,0),"")</f>
        <v/>
      </c>
      <c r="J50" s="1" t="str">
        <f ca="1">IFERROR(VLOOKUP($F50,База!$A:$BE,13,0),"")</f>
        <v/>
      </c>
      <c r="K50" s="1" t="str">
        <f ca="1">IFERROR(VLOOKUP($F50,База!$A:$BE,16,0),"")</f>
        <v/>
      </c>
      <c r="L50" s="1" t="str">
        <f ca="1">IFERROR(VLOOKUP($F50,База!$A:$BE,17,0),"")</f>
        <v/>
      </c>
      <c r="M50">
        <v>345</v>
      </c>
      <c r="O50" s="1" t="str">
        <f ca="1">IFERROR(VLOOKUP($M50,База!$A:$BE,10,0),"")</f>
        <v/>
      </c>
      <c r="P50" s="1" t="str">
        <f ca="1">IFERROR(VLOOKUP($M50,База!$A:$BE,13,0),"")</f>
        <v/>
      </c>
      <c r="Q50" s="1" t="str">
        <f ca="1">IFERROR(VLOOKUP($M50,База!$A:$BE,16,0),"")</f>
        <v/>
      </c>
      <c r="R50" s="1" t="str">
        <f ca="1">IFERROR(VLOOKUP($M50,База!$A:$BE,17,0),"")</f>
        <v/>
      </c>
      <c r="S50">
        <v>445</v>
      </c>
      <c r="U50" s="1" t="str">
        <f ca="1">IFERROR(VLOOKUP($S50,База!$A:$BE,10,0),"")</f>
        <v/>
      </c>
      <c r="V50" s="1" t="str">
        <f ca="1">IFERROR(VLOOKUP($S50,База!$A:$BE,13,0),"")</f>
        <v/>
      </c>
      <c r="W50" s="1" t="str">
        <f ca="1">IFERROR(VLOOKUP($S50,База!$A:$BE,16,0),"")</f>
        <v/>
      </c>
      <c r="X50" s="1" t="str">
        <f ca="1">IFERROR(VLOOKUP($S50,База!$A:$BE,17,0),"")</f>
        <v/>
      </c>
      <c r="Y50" s="5">
        <v>545</v>
      </c>
      <c r="AA50" s="1" t="str">
        <f ca="1">IFERROR(VLOOKUP($Y50,База!$A:$BE,10,0),"")</f>
        <v/>
      </c>
      <c r="AB50" s="1" t="str">
        <f ca="1">IFERROR(VLOOKUP($Y50,База!$A:$BE,13,0),"")</f>
        <v/>
      </c>
      <c r="AC50" s="1" t="str">
        <f ca="1">IFERROR(VLOOKUP($Y50,База!$A:$BE,16,0),"")</f>
        <v/>
      </c>
      <c r="AD50" s="1" t="str">
        <f ca="1">IFERROR(VLOOKUP($Y50,База!$A:$BE,17,0),"")</f>
        <v/>
      </c>
      <c r="AE50" s="5">
        <v>645</v>
      </c>
      <c r="AG50" s="1" t="str">
        <f ca="1">IFERROR(VLOOKUP($AE50,База!$A:$BE,10,0),"")</f>
        <v/>
      </c>
      <c r="AH50" s="1" t="str">
        <f ca="1">IFERROR(VLOOKUP($AE50,База!$A:$BE,13,0),"")</f>
        <v/>
      </c>
      <c r="AI50" s="1" t="str">
        <f ca="1">IFERROR(VLOOKUP($AE50,База!$A:$BE,16,0),"")</f>
        <v/>
      </c>
      <c r="AJ50" s="1" t="str">
        <f ca="1">IFERROR(VLOOKUP($AE50,База!$A:$BE,17,0),"")</f>
        <v/>
      </c>
      <c r="AK50" s="5">
        <v>745</v>
      </c>
      <c r="AM50" s="1" t="str">
        <f ca="1">IFERROR(VLOOKUP($AK50,База!$A:$BE,10,0),"")</f>
        <v/>
      </c>
      <c r="AN50" s="1" t="str">
        <f ca="1">IFERROR(VLOOKUP($AK50,База!$A:$BE,13,0),"")</f>
        <v/>
      </c>
      <c r="AO50" s="1" t="str">
        <f ca="1">IFERROR(VLOOKUP($AK50,База!$A:$BE,16,0),"")</f>
        <v/>
      </c>
      <c r="AP50" s="1" t="str">
        <f ca="1">IFERROR(VLOOKUP($AK50,База!$A:$BE,17,0),"")</f>
        <v/>
      </c>
      <c r="AQ50" s="5">
        <v>845</v>
      </c>
      <c r="AS50" s="1" t="str">
        <f ca="1">IFERROR(VLOOKUP($AQ50,База!$A:$BE,10,0),"")</f>
        <v/>
      </c>
      <c r="AT50" s="1" t="str">
        <f ca="1">IFERROR(VLOOKUP($AQ50,База!$A:$BE,13,0),"")</f>
        <v/>
      </c>
      <c r="AU50" s="1" t="str">
        <f ca="1">IFERROR(VLOOKUP($AQ50,База!$A:$BE,16,0),"")</f>
        <v/>
      </c>
      <c r="AV50" s="1" t="str">
        <f ca="1">IFERROR(VLOOKUP($AQ50,База!$A:$BE,17,0),"")</f>
        <v/>
      </c>
    </row>
  </sheetData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письмоскладам1">
                <anchor moveWithCells="1" sizeWithCells="1">
                  <from>
                    <xdr:col>3</xdr:col>
                    <xdr:colOff>133350</xdr:colOff>
                    <xdr:row>0</xdr:row>
                    <xdr:rowOff>85725</xdr:rowOff>
                  </from>
                  <to>
                    <xdr:col>6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"/>
  <sheetViews>
    <sheetView workbookViewId="0">
      <selection activeCell="J5" sqref="J5"/>
    </sheetView>
  </sheetViews>
  <sheetFormatPr defaultRowHeight="15" x14ac:dyDescent="0.25"/>
  <cols>
    <col min="2" max="2" width="12.85546875" customWidth="1"/>
  </cols>
  <sheetData>
    <row r="1" spans="1:18" ht="123.75" x14ac:dyDescent="0.25">
      <c r="A1" s="6" t="s">
        <v>3</v>
      </c>
      <c r="B1" s="6" t="s">
        <v>55</v>
      </c>
      <c r="C1" s="6" t="s">
        <v>56</v>
      </c>
      <c r="D1" s="6" t="s">
        <v>57</v>
      </c>
      <c r="E1" s="6" t="s">
        <v>58</v>
      </c>
      <c r="F1" s="6" t="s">
        <v>59</v>
      </c>
      <c r="G1" s="6" t="s">
        <v>60</v>
      </c>
      <c r="H1" s="6" t="s">
        <v>61</v>
      </c>
      <c r="I1" s="6" t="s">
        <v>62</v>
      </c>
      <c r="J1" s="6" t="s">
        <v>63</v>
      </c>
      <c r="K1" s="6" t="s">
        <v>64</v>
      </c>
      <c r="L1" s="6" t="s">
        <v>65</v>
      </c>
      <c r="M1" s="6" t="s">
        <v>66</v>
      </c>
      <c r="N1" s="6" t="s">
        <v>67</v>
      </c>
      <c r="O1" s="6" t="s">
        <v>68</v>
      </c>
      <c r="R1" s="36" t="s">
        <v>91</v>
      </c>
    </row>
    <row r="2" spans="1:18" x14ac:dyDescent="0.25">
      <c r="A2" t="s">
        <v>69</v>
      </c>
      <c r="B2" s="7">
        <f ca="1">IF(WEEKDAY(TODAY()+1,2)=7,TODAY()+2,TODAY()+1)</f>
        <v>43414</v>
      </c>
      <c r="C2">
        <v>86</v>
      </c>
      <c r="D2">
        <f ca="1">SUMIFS(База!Q:Q,База!J:J,"&lt;&gt;SPZ*",База!T:T,"=*",База!J:J,"&lt;&gt;TCH*",База!O:O,R2,База!C:C,"&lt;&gt;Не подписано")</f>
        <v>0</v>
      </c>
      <c r="E2">
        <f ca="1">SUMIFS(База!Q:Q,База!J:J,"=SPZ*",База!T:T,"=*",База!J:J,"&lt;&gt;TCH*",База!O:O,R2,База!C:C,"&lt;&gt;Не подписано")</f>
        <v>0</v>
      </c>
      <c r="F2" s="8">
        <f>Квоты!C10</f>
        <v>2902.81647029754</v>
      </c>
      <c r="G2" s="11">
        <f ca="1">SUMIFS(База!P:P,База!J:J,"=SPZ*",База!T:T,"=*",База!J:J,"&lt;&gt;TCH*",База!O:O,R2,База!C:C,"&lt;&gt;Не подписано")</f>
        <v>0</v>
      </c>
      <c r="H2" s="9">
        <f ca="1">SUMIFS(База!P:P,База!J:J,"&lt;&gt;SPZ*",База!T:T,"=*",База!J:J,"&lt;&gt;TCH*",База!O:O,R2,База!C:C,"&lt;&gt;Не подписано")</f>
        <v>0</v>
      </c>
      <c r="I2">
        <f ca="1">SUM(D2:E2)</f>
        <v>0</v>
      </c>
      <c r="J2">
        <f ca="1">SUM(G2:H2)</f>
        <v>0</v>
      </c>
      <c r="K2" s="10">
        <f ca="1">I2/C2</f>
        <v>0</v>
      </c>
      <c r="L2" s="10">
        <f ca="1">J2/F2</f>
        <v>0</v>
      </c>
      <c r="M2">
        <f>SUMIFS(База!Q:Q,База!T:T,"&lt;&gt;*",База!J:J,"&lt;&gt;TCH*")</f>
        <v>0</v>
      </c>
      <c r="N2" s="9">
        <f>SUMIFS(База!P:P,База!T:T,"&lt;&gt;*",База!J:J,"&lt;&gt;TCH*")</f>
        <v>0</v>
      </c>
      <c r="O2" t="s">
        <v>70</v>
      </c>
      <c r="R2" s="35" t="str">
        <f ca="1">"&gt;"&amp;TODAY()</f>
        <v>&gt;43413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K20"/>
  <sheetViews>
    <sheetView workbookViewId="0">
      <selection activeCell="E31" sqref="E31"/>
    </sheetView>
  </sheetViews>
  <sheetFormatPr defaultRowHeight="15" x14ac:dyDescent="0.25"/>
  <cols>
    <col min="1" max="1" width="36.85546875" bestFit="1" customWidth="1"/>
    <col min="2" max="2" width="10.85546875" customWidth="1"/>
    <col min="3" max="5" width="12.85546875" bestFit="1" customWidth="1"/>
    <col min="6" max="7" width="11.85546875" bestFit="1" customWidth="1"/>
    <col min="8" max="8" width="12.7109375" customWidth="1"/>
    <col min="9" max="9" width="12.42578125" bestFit="1" customWidth="1"/>
  </cols>
  <sheetData>
    <row r="1" spans="1:11" x14ac:dyDescent="0.25">
      <c r="A1" s="12" t="s">
        <v>71</v>
      </c>
      <c r="B1" s="7">
        <f ca="1">IF(WEEKDAY(TODAY()+1,2)=7,TODAY()+2,TODAY()+1)</f>
        <v>43414</v>
      </c>
    </row>
    <row r="2" spans="1:11" ht="15.75" thickBot="1" x14ac:dyDescent="0.3">
      <c r="A2" s="12" t="s">
        <v>72</v>
      </c>
      <c r="B2" s="12" t="s">
        <v>73</v>
      </c>
      <c r="C2" s="13" t="s">
        <v>69</v>
      </c>
      <c r="D2" s="14" t="s">
        <v>53</v>
      </c>
      <c r="E2" s="14" t="s">
        <v>1</v>
      </c>
      <c r="F2" s="14" t="s">
        <v>0</v>
      </c>
      <c r="G2" s="14" t="s">
        <v>2</v>
      </c>
      <c r="H2" s="14" t="s">
        <v>54</v>
      </c>
      <c r="I2" s="14" t="s">
        <v>118</v>
      </c>
      <c r="J2" s="14" t="s">
        <v>119</v>
      </c>
      <c r="K2" s="14" t="s">
        <v>120</v>
      </c>
    </row>
    <row r="3" spans="1:11" x14ac:dyDescent="0.25">
      <c r="A3" s="64" t="s">
        <v>74</v>
      </c>
      <c r="B3" s="65"/>
      <c r="C3" s="15">
        <f ca="1">SUM(D3:H3)</f>
        <v>0</v>
      </c>
      <c r="D3" s="16">
        <f ca="1">SUMIFS(База!Q:Q,База!C:C,"Б",База!J:J,"&lt;&gt;*SPZ*",База!T:T,"*")</f>
        <v>0</v>
      </c>
      <c r="E3" s="16">
        <f ca="1">SUMIFS(База!Q:Q,База!C:C,2,База!J:J,"&lt;&gt;*SPZ*",База!T:T,"*")</f>
        <v>0</v>
      </c>
      <c r="F3" s="16">
        <f ca="1">SUMIFS(База!Q:Q,База!C:C,3,База!J:J,"&lt;&gt;*SPZ*",База!T:T,"*")</f>
        <v>0</v>
      </c>
      <c r="G3" s="16">
        <f ca="1">SUMIFS(База!Q:Q,База!C:C,4,База!J:J,"&lt;&gt;*SPZ*",База!T:T,"*")</f>
        <v>0</v>
      </c>
      <c r="H3" s="16">
        <f ca="1">SUMIFS(База!Q:Q,База!C:C,5,База!J:J,"&lt;&gt;*SPZ*",База!T:T,"*")</f>
        <v>0</v>
      </c>
      <c r="I3" s="16">
        <f ca="1">SUMIFS(База!Q:Q,База!C:C,6,База!J:J,"&lt;&gt;*SPZ*",База!T:T,"*")</f>
        <v>0</v>
      </c>
      <c r="J3" s="16">
        <f ca="1">SUMIFS(База!Q:Q,База!C:C,7,База!J:J,"&lt;&gt;*SPZ*",База!T:T,"*")</f>
        <v>0</v>
      </c>
      <c r="K3" s="16">
        <f ca="1">SUMIFS(База!Q:Q,База!C:C,8,База!J:J,"&lt;&gt;*SPZ*",База!T:T,"*")</f>
        <v>0</v>
      </c>
    </row>
    <row r="4" spans="1:11" x14ac:dyDescent="0.25">
      <c r="A4" s="66" t="s">
        <v>75</v>
      </c>
      <c r="B4" s="67"/>
      <c r="C4" s="15">
        <f ca="1">SUM(D4:H4)</f>
        <v>0</v>
      </c>
      <c r="D4" s="16">
        <f ca="1">SUMIFS(База!Q:Q,База!C:C,"Б",База!J:J,"=*SPZ*",База!T:T,"*")</f>
        <v>0</v>
      </c>
      <c r="E4" s="16">
        <f ca="1">SUMIFS(База!Q:Q,База!C:C,2,База!J:J,"=*SPZ*",База!T:T,"*")</f>
        <v>0</v>
      </c>
      <c r="F4" s="16">
        <f ca="1">SUMIFS(База!Q:Q,База!C:C,3,База!J:J,"=*SPZ*",База!T:T,"*")</f>
        <v>0</v>
      </c>
      <c r="G4" s="16">
        <f ca="1">SUMIFS(База!Q:Q,База!C:C,4,База!J:J,"=*SPZ*",База!T:T,"*")</f>
        <v>0</v>
      </c>
      <c r="H4" s="16">
        <f ca="1">SUMIFS(База!Q:Q,База!C:C,5,База!J:J,"=*SPZ*",База!T:T,"*")</f>
        <v>0</v>
      </c>
      <c r="I4" s="16">
        <f ca="1">SUMIFS(База!Q:Q,База!C:C,6,База!J:J,"=*SPZ*",База!T:T,"*")</f>
        <v>0</v>
      </c>
      <c r="J4" s="16">
        <f ca="1">SUMIFS(База!Q:Q,База!C:C,7,База!J:J,"=*SPZ*",База!T:T,"*")</f>
        <v>0</v>
      </c>
      <c r="K4" s="16">
        <f ca="1">SUMIFS(База!Q:Q,База!C:C,8,База!J:J,"=*SPZ*",База!T:T,"*")</f>
        <v>0</v>
      </c>
    </row>
    <row r="5" spans="1:11" x14ac:dyDescent="0.25">
      <c r="A5" s="62" t="s">
        <v>76</v>
      </c>
      <c r="B5" s="63"/>
      <c r="C5" s="17">
        <f ca="1">SUM(C3:C4)</f>
        <v>0</v>
      </c>
      <c r="D5" s="17">
        <f t="shared" ref="D5:F5" ca="1" si="0">SUM(D3:D4)</f>
        <v>0</v>
      </c>
      <c r="E5" s="17">
        <f t="shared" ca="1" si="0"/>
        <v>0</v>
      </c>
      <c r="F5" s="17">
        <f t="shared" ca="1" si="0"/>
        <v>0</v>
      </c>
      <c r="G5" s="17">
        <f ca="1">SUM(G3:G4)</f>
        <v>0</v>
      </c>
      <c r="H5" s="17">
        <f ca="1">SUM(H3:H4)</f>
        <v>0</v>
      </c>
      <c r="I5" s="17">
        <f t="shared" ref="I5:K5" ca="1" si="1">SUM(I3:I4)</f>
        <v>0</v>
      </c>
      <c r="J5" s="17">
        <f t="shared" ca="1" si="1"/>
        <v>0</v>
      </c>
      <c r="K5" s="17">
        <f t="shared" ca="1" si="1"/>
        <v>0</v>
      </c>
    </row>
    <row r="6" spans="1:11" x14ac:dyDescent="0.25">
      <c r="A6" s="54" t="s">
        <v>77</v>
      </c>
      <c r="B6" s="55"/>
      <c r="C6" s="18">
        <f>SUM(D6:H6)</f>
        <v>125.68975824353572</v>
      </c>
      <c r="D6" s="18">
        <f>Квоты!B2</f>
        <v>52.612157996009444</v>
      </c>
      <c r="E6" s="18">
        <f>Квоты!B3</f>
        <v>50.576032608862185</v>
      </c>
      <c r="F6" s="18">
        <f>Квоты!B4</f>
        <v>11.272711083453153</v>
      </c>
      <c r="G6" s="18">
        <f>Квоты!B5</f>
        <v>6.1632550733379396</v>
      </c>
      <c r="H6" s="18">
        <f>Квоты!B6</f>
        <v>5.0656014818730082</v>
      </c>
      <c r="I6" s="18">
        <f>Квоты!B7</f>
        <v>0</v>
      </c>
      <c r="J6" s="18">
        <f>Квоты!B8</f>
        <v>0</v>
      </c>
      <c r="K6" s="18">
        <f>Квоты!B9</f>
        <v>0</v>
      </c>
    </row>
    <row r="7" spans="1:11" x14ac:dyDescent="0.25">
      <c r="A7" s="54" t="s">
        <v>78</v>
      </c>
      <c r="B7" s="55"/>
      <c r="C7" s="19">
        <f ca="1">C5/C6</f>
        <v>0</v>
      </c>
      <c r="D7" s="19">
        <f t="shared" ref="D7:H7" ca="1" si="2">D5/D6</f>
        <v>0</v>
      </c>
      <c r="E7" s="19">
        <f t="shared" ca="1" si="2"/>
        <v>0</v>
      </c>
      <c r="F7" s="19">
        <f t="shared" ca="1" si="2"/>
        <v>0</v>
      </c>
      <c r="G7" s="19">
        <f t="shared" ca="1" si="2"/>
        <v>0</v>
      </c>
      <c r="H7" s="19">
        <f t="shared" ca="1" si="2"/>
        <v>0</v>
      </c>
      <c r="I7" s="19" t="e">
        <f t="shared" ref="I7:K7" ca="1" si="3">I5/I6</f>
        <v>#DIV/0!</v>
      </c>
      <c r="J7" s="19" t="e">
        <f t="shared" ca="1" si="3"/>
        <v>#DIV/0!</v>
      </c>
      <c r="K7" s="19" t="e">
        <f t="shared" ca="1" si="3"/>
        <v>#DIV/0!</v>
      </c>
    </row>
    <row r="8" spans="1:11" x14ac:dyDescent="0.25">
      <c r="A8" s="62" t="s">
        <v>79</v>
      </c>
      <c r="B8" s="63"/>
      <c r="C8" s="17">
        <f ca="1">SUM(D8:H8)</f>
        <v>0</v>
      </c>
      <c r="D8" s="17">
        <f ca="1">SUMIFS(База!P:P,База!C:C,"Б",База!T:T,"*")</f>
        <v>0</v>
      </c>
      <c r="E8" s="17">
        <f ca="1">SUMIFS(База!P:P,База!C:C,2,База!T:T,"*")</f>
        <v>0</v>
      </c>
      <c r="F8" s="17">
        <f ca="1">SUMIFS(База!P:P,База!C:C,3,База!T:T,"*")</f>
        <v>0</v>
      </c>
      <c r="G8" s="17">
        <f ca="1">SUMIFS(База!P:P,База!C:C,4,База!T:T,"*")</f>
        <v>0</v>
      </c>
      <c r="H8" s="17">
        <f ca="1">SUMIFS(База!P:P,База!C:C,5,База!T:T,"*")</f>
        <v>0</v>
      </c>
      <c r="I8" s="17">
        <f ca="1">SUMIFS(База!P:P,База!C:C,6,База!T:T,"*")</f>
        <v>0</v>
      </c>
      <c r="J8" s="17">
        <f ca="1">SUMIFS(База!P:P,База!C:C,7,База!T:T,"*")</f>
        <v>0</v>
      </c>
      <c r="K8" s="17">
        <f ca="1">SUMIFS(База!P:P,База!C:C,8,База!T:T,"*")</f>
        <v>0</v>
      </c>
    </row>
    <row r="9" spans="1:11" x14ac:dyDescent="0.25">
      <c r="A9" s="54" t="s">
        <v>80</v>
      </c>
      <c r="B9" s="55"/>
      <c r="C9" s="18">
        <f>SUM(D9:H9)</f>
        <v>2902.81647029754</v>
      </c>
      <c r="D9" s="18">
        <f>Квоты!C2</f>
        <v>1043.8999148428754</v>
      </c>
      <c r="E9" s="18">
        <f>Квоты!C3</f>
        <v>914.35106009772358</v>
      </c>
      <c r="F9" s="18">
        <f>Квоты!C4</f>
        <v>495.18505425498194</v>
      </c>
      <c r="G9" s="18">
        <f>Квоты!C5</f>
        <v>273.73593398792593</v>
      </c>
      <c r="H9" s="18">
        <f>Квоты!C6</f>
        <v>175.64450711403319</v>
      </c>
      <c r="I9" s="18">
        <f>Квоты!C7</f>
        <v>0</v>
      </c>
      <c r="J9" s="18">
        <f>Квоты!C8</f>
        <v>0</v>
      </c>
      <c r="K9" s="18">
        <f>Квоты!C9</f>
        <v>0</v>
      </c>
    </row>
    <row r="10" spans="1:11" x14ac:dyDescent="0.25">
      <c r="A10" s="54" t="s">
        <v>81</v>
      </c>
      <c r="B10" s="55"/>
      <c r="C10" s="20">
        <f ca="1">C8/C9</f>
        <v>0</v>
      </c>
      <c r="D10" s="20">
        <f t="shared" ref="D10:H10" ca="1" si="4">D8/D9</f>
        <v>0</v>
      </c>
      <c r="E10" s="20">
        <f t="shared" ca="1" si="4"/>
        <v>0</v>
      </c>
      <c r="F10" s="20">
        <f t="shared" ca="1" si="4"/>
        <v>0</v>
      </c>
      <c r="G10" s="20">
        <f t="shared" ca="1" si="4"/>
        <v>0</v>
      </c>
      <c r="H10" s="20">
        <f t="shared" ca="1" si="4"/>
        <v>0</v>
      </c>
      <c r="I10" s="20" t="e">
        <f t="shared" ref="I10:K10" ca="1" si="5">I8/I9</f>
        <v>#DIV/0!</v>
      </c>
      <c r="J10" s="20" t="e">
        <f t="shared" ca="1" si="5"/>
        <v>#DIV/0!</v>
      </c>
      <c r="K10" s="20" t="e">
        <f t="shared" ca="1" si="5"/>
        <v>#DIV/0!</v>
      </c>
    </row>
    <row r="11" spans="1:11" x14ac:dyDescent="0.25">
      <c r="A11" s="21" t="s">
        <v>82</v>
      </c>
      <c r="B11" s="22"/>
      <c r="C11" s="23">
        <f>SUM(D11:H11)</f>
        <v>0</v>
      </c>
      <c r="D11" s="23">
        <f>SUMIFS(База!Q:Q,База!M:M,"*СПБ",База!T:T,"",База!J:J,"&lt;&gt;TCH*")</f>
        <v>0</v>
      </c>
      <c r="E11" s="23">
        <f>SUMIFS(База!Q:Q,База!M:M,"*СПБ 2",База!T:T,"",База!J:J,"&lt;&gt;TCH*")</f>
        <v>0</v>
      </c>
      <c r="F11" s="23">
        <f>SUMIFS(База!Q:Q,База!M:M,"*СПБ 3",База!T:T,"",База!J:J,"&lt;&gt;TCH*")</f>
        <v>0</v>
      </c>
      <c r="G11" s="23">
        <f>SUMIFS(База!Q:Q,База!M:M,"*СПБ 4",База!T:T,"",База!J:J,"&lt;&gt;TCH*")</f>
        <v>0</v>
      </c>
      <c r="H11" s="23">
        <f>SUMIFS(База!Q:Q,База!M:M,"*СПБ 5",База!T:T,"",База!J:J,"&lt;&gt;TCH*")</f>
        <v>0</v>
      </c>
      <c r="I11" s="23">
        <f>SUMIFS(База!Q:Q,База!M:M,"*СПБ 6",База!T:T,"",База!J:J,"&lt;&gt;TCH*")</f>
        <v>0</v>
      </c>
      <c r="J11" s="23">
        <f>SUMIFS(База!Q:Q,База!M:M,"*СПБ 7",База!T:T,"",База!J:J,"&lt;&gt;TCH*")</f>
        <v>0</v>
      </c>
      <c r="K11" s="23">
        <f>SUMIFS(База!Q:Q,База!M:M,"*СПБ 8",База!T:T,"",База!J:J,"&lt;&gt;TCH*")</f>
        <v>0</v>
      </c>
    </row>
    <row r="12" spans="1:11" x14ac:dyDescent="0.25">
      <c r="A12" s="21" t="s">
        <v>83</v>
      </c>
      <c r="B12" s="22"/>
      <c r="C12" s="23">
        <f>SUM(D12:H12)</f>
        <v>0</v>
      </c>
      <c r="D12" s="23">
        <f>SUMIFS(База!P:P,База!M:M,"*СПБ",База!T:T,"",База!J:J,"&lt;&gt;TCH*")</f>
        <v>0</v>
      </c>
      <c r="E12" s="23">
        <f>SUMIFS(База!P:P,База!M:M,"*СПБ 2",База!T:T,"",База!J:J,"&lt;&gt;TCH*")</f>
        <v>0</v>
      </c>
      <c r="F12" s="23">
        <f>SUMIFS(База!P:P,База!M:M,"*СПБ 3",База!T:T,"",База!J:J,"&lt;&gt;TCH*")</f>
        <v>0</v>
      </c>
      <c r="G12" s="23">
        <f>SUMIFS(База!P:P,База!M:M,"*СПБ 4",База!T:T,"",База!J:J,"&lt;&gt;TCH*")</f>
        <v>0</v>
      </c>
      <c r="H12" s="23">
        <f>SUMIFS(База!P:P,База!M:M,"*СПБ 5",База!T:T,"",База!J:J,"&lt;&gt;TCH*")</f>
        <v>0</v>
      </c>
      <c r="I12" s="23">
        <f>SUMIFS(База!P:P,База!M:M,"*СПБ 6",База!T:T,"",База!J:J,"&lt;&gt;TCH*")</f>
        <v>0</v>
      </c>
      <c r="J12" s="23">
        <f>SUMIFS(База!P:P,База!M:M,"*СПБ 7",База!T:T,"",База!J:J,"&lt;&gt;TCH*")</f>
        <v>0</v>
      </c>
      <c r="K12" s="23">
        <f>SUMIFS(База!P:P,База!M:M,"*СПБ 8",База!T:T,"",База!J:J,"&lt;&gt;TCH*")</f>
        <v>0</v>
      </c>
    </row>
    <row r="13" spans="1:11" x14ac:dyDescent="0.25">
      <c r="A13" s="24" t="s">
        <v>84</v>
      </c>
      <c r="B13" s="25"/>
      <c r="C13" s="26">
        <f>SUM(D13:H13)</f>
        <v>0</v>
      </c>
      <c r="D13" s="34">
        <f>SUMIFS(База!AF:AF,База!M:M,"*СПБ",База!T:T,"",База!J:J,"&lt;&gt;TCH*")</f>
        <v>0</v>
      </c>
      <c r="E13" s="34">
        <f>SUMIFS(База!AF:AF,База!M:M,"*СПБ 2",База!T:T,"",База!J:J,"&lt;&gt;TCH*")</f>
        <v>0</v>
      </c>
      <c r="F13" s="34">
        <f>SUMIFS(База!AF:AF,База!M:M,"*СПБ 3",База!T:T,"",База!J:J,"&lt;&gt;TCH*")</f>
        <v>0</v>
      </c>
      <c r="G13" s="34">
        <f>SUMIFS(База!AF:AF,База!M:M,"*СПБ 4",База!T:T,"",База!J:J,"&lt;&gt;TCH*")</f>
        <v>0</v>
      </c>
      <c r="H13" s="34">
        <f>SUMIFS(База!AF:AF,База!M:M,"*СПБ 5",База!T:T,"",База!J:J,"&lt;&gt;TCH*")</f>
        <v>0</v>
      </c>
      <c r="I13" s="34">
        <f>SUMIFS(База!AF:AF,База!M:M,"*СПБ 6",База!T:T,"",База!J:J,"&lt;&gt;TCH*")</f>
        <v>0</v>
      </c>
      <c r="J13" s="34">
        <f>SUMIFS(База!AF:AF,База!M:M,"*СПБ 7",База!T:T,"",База!J:J,"&lt;&gt;TCH*")</f>
        <v>0</v>
      </c>
      <c r="K13" s="34">
        <f>SUMIFS(База!AF:AF,База!M:M,"*СПБ 8",База!T:T,"",База!J:J,"&lt;&gt;TCH*")</f>
        <v>0</v>
      </c>
    </row>
    <row r="14" spans="1:11" x14ac:dyDescent="0.25">
      <c r="A14" s="27" t="s">
        <v>85</v>
      </c>
      <c r="B14" s="28"/>
      <c r="C14" s="29">
        <f ca="1">SUM(D14:H14)</f>
        <v>0</v>
      </c>
      <c r="D14" s="29">
        <f ca="1">SUMIFS(База!AF:AF,База!C:C,"Б",База!T:T,"*")</f>
        <v>0</v>
      </c>
      <c r="E14" s="29">
        <f ca="1">SUMIFS(База!AF:AF,База!C:C,2,База!T:T,"*")</f>
        <v>0</v>
      </c>
      <c r="F14" s="29">
        <f ca="1">SUMIFS(База!AF:AF,База!C:C,3,База!T:T,"*")</f>
        <v>0</v>
      </c>
      <c r="G14" s="29">
        <f ca="1">SUMIFS(База!AF:AF,База!C:C,4,База!T:T,"*")</f>
        <v>0</v>
      </c>
      <c r="H14" s="29">
        <f ca="1">SUMIFS(База!AF:AF,База!C:C,5,База!T:T,"*")</f>
        <v>0</v>
      </c>
      <c r="I14" s="29">
        <f ca="1">SUMIFS(База!AF:AF,База!C:C,6,База!T:T,"*")</f>
        <v>0</v>
      </c>
      <c r="J14" s="29">
        <f ca="1">SUMIFS(База!AF:AF,База!C:C,7,База!T:T,"*")</f>
        <v>0</v>
      </c>
      <c r="K14" s="29">
        <f ca="1">SUMIFS(База!AF:AF,База!C:C,8,База!T:T,"*")</f>
        <v>0</v>
      </c>
    </row>
    <row r="15" spans="1:11" x14ac:dyDescent="0.25">
      <c r="A15" s="56" t="s">
        <v>86</v>
      </c>
      <c r="B15" s="57"/>
      <c r="C15" s="30"/>
      <c r="D15" s="30"/>
      <c r="E15" s="30"/>
      <c r="F15" s="30"/>
      <c r="G15" s="31"/>
      <c r="H15" s="31"/>
      <c r="I15" s="31"/>
      <c r="J15" s="31"/>
      <c r="K15" s="31"/>
    </row>
    <row r="16" spans="1:11" x14ac:dyDescent="0.25">
      <c r="A16" s="58" t="s">
        <v>87</v>
      </c>
      <c r="B16" s="59"/>
      <c r="C16" s="32">
        <f ca="1">IFERROR(SUMIFS(База!AF:AF,База!T:T,"*",База!J:J,"&lt;&gt;SPZ*",База!O:O,Шаблон_пополнения!R2)/SUMIFS(База!P:P,База!T:T,"*",База!J:J,"&lt;&gt;SPZ*",База!O:O,Шаблон_пополнения!R2),0)</f>
        <v>0</v>
      </c>
      <c r="D16" s="33">
        <f ca="1">IFERROR(SUMIFS(База!AF:AF,База!M:M,"*СПБ",База!T:T,"*",База!J:J,"&lt;&gt;SPZ*",База!O:O,Шаблон_пополнения!R2)/SUMIFS(База!P:P,База!M:M,"*СПБ",База!T:T,"*",База!J:J,"&lt;&gt;SPZ*",База!O:O,Шаблон_пополнения!R2),0)</f>
        <v>0</v>
      </c>
      <c r="E16" s="33">
        <f ca="1">IFERROR(SUMIFS(База!AF:AF,База!M:M,"*СПБ 2",База!T:T,"*",База!J:J,"&lt;&gt;SPZ*",База!O:O,Шаблон_пополнения!R2)/SUMIFS(База!P:P,База!M:M,"*СПБ 2",База!T:T,"*",База!J:J,"&lt;&gt;SPZ*",База!O:O,Шаблон_пополнения!R2),0)</f>
        <v>0</v>
      </c>
      <c r="F16" s="33">
        <f ca="1">IFERROR(SUMIFS(База!AF:AF,База!M:M,"*СПБ 3",База!T:T,"*",База!J:J,"&lt;&gt;SPZ*",База!O:O,Шаблон_пополнения!R2)/SUMIFS(База!P:P,База!M:M,"*СПБ 3",База!T:T,"*",База!J:J,"&lt;&gt;SPZ*",База!O:O,Шаблон_пополнения!R2),0)</f>
        <v>0</v>
      </c>
      <c r="G16" s="33">
        <f ca="1">IFERROR(SUMIFS(База!AF:AF,База!M:M,"*СПБ 4",База!T:T,"*",База!J:J,"&lt;&gt;SPZ*",База!O:O,Шаблон_пополнения!R2)/SUMIFS(База!P:P,База!M:M,"*СПБ 4",База!T:T,"*",База!J:J,"&lt;&gt;SPZ*",База!O:O,Шаблон_пополнения!R2),0)</f>
        <v>0</v>
      </c>
      <c r="H16" s="33">
        <f ca="1">IFERROR(SUMIFS(База!AF:AF,База!M:M,"*СПБ 5",База!T:T,"*",База!J:J,"&lt;&gt;SPZ*",База!O:O,Шаблон_пополнения!R2)/SUMIFS(База!P:P,База!M:M,"*СПБ 5",База!T:T,"*",База!J:J,"&lt;&gt;SPZ*",База!O:O,Шаблон_пополнения!R2),0)</f>
        <v>0</v>
      </c>
      <c r="I16" s="33">
        <f ca="1">IFERROR(SUMIFS(База!AF:AF,База!M:M,"*СПБ 6",База!T:T,"*",База!J:J,"&lt;&gt;SPZ*",База!O:O,Шаблон_пополнения!R2)/SUMIFS(База!P:P,База!M:M,"*СПБ 6",База!T:T,"*",База!J:J,"&lt;&gt;SPZ*",База!O:O,Шаблон_пополнения!R2),0)</f>
        <v>0</v>
      </c>
      <c r="J16" s="33">
        <f ca="1">IFERROR(SUMIFS(База!AF:AF,База!M:M,"*СПБ 7",База!T:T,"*",База!J:J,"&lt;&gt;SPZ*",База!O:O,Шаблон_пополнения!R2)/SUMIFS(База!P:P,База!M:M,"*СПБ 7",База!T:T,"*",База!J:J,"&lt;&gt;SPZ*",База!O:O,Шаблон_пополнения!R2),0)</f>
        <v>0</v>
      </c>
      <c r="K16" s="33">
        <f ca="1">IFERROR(SUMIFS(База!AF:AF,База!M:M,"*СПБ 8",База!T:T,"*",База!J:J,"&lt;&gt;SPZ*",База!O:O,Шаблон_пополнения!R2)/SUMIFS(База!P:P,База!M:M,"*СПБ 8",База!T:T,"*",База!J:J,"&lt;&gt;SPZ*",База!O:O,Шаблон_пополнения!R2),0)</f>
        <v>0</v>
      </c>
    </row>
    <row r="17" spans="1:11" x14ac:dyDescent="0.25">
      <c r="A17" s="58" t="s">
        <v>88</v>
      </c>
      <c r="B17" s="59"/>
      <c r="C17" s="32">
        <f ca="1">IFERROR(SUMIFS(База!AF:AF,База!T:T,"*",База!J:J,"&lt;&gt;SPZ*",База!O:O,Шаблон_пополнения!R2)/SUMIFS(База!Q:Q,База!T:T,"*",База!J:J,"&lt;&gt;SPZ*",База!O:O,Шаблон_пополнения!R2),0)</f>
        <v>0</v>
      </c>
      <c r="D17" s="33">
        <f ca="1">IFERROR(SUMIFS(База!AF:AF,База!M:M,"*СПБ",База!T:T,"*",База!J:J,"&lt;&gt;SPZ*",База!O:O,Шаблон_пополнения!R2)/SUMIFS(База!Q:Q,База!M:M,"*СПБ",База!T:T,"*",База!J:J,"&lt;&gt;SPZ*",База!O:O,Шаблон_пополнения!R2),0)</f>
        <v>0</v>
      </c>
      <c r="E17" s="33">
        <f ca="1">IFERROR(SUMIFS(База!AF:AF,База!M:M,"*СПБ 2",База!T:T,"*",База!J:J,"&lt;&gt;SPZ*",База!O:O,Шаблон_пополнения!R2)/SUMIFS(База!Q:Q,База!M:M,"*СПБ 2",База!T:T,"*",База!J:J,"&lt;&gt;SPZ*",База!O:O,Шаблон_пополнения!R2),0)</f>
        <v>0</v>
      </c>
      <c r="F17" s="33">
        <f ca="1">IFERROR(SUMIFS(База!AF:AF,База!M:M,"*СПБ 3",База!T:T,"*",База!J:J,"&lt;&gt;SPZ*",База!O:O,Шаблон_пополнения!R2)/SUMIFS(База!Q:Q,База!M:M,"*СПБ 3",База!T:T,"*",База!J:J,"&lt;&gt;SPZ*",База!O:O,Шаблон_пополнения!R2),0)</f>
        <v>0</v>
      </c>
      <c r="G17" s="33">
        <f ca="1">IFERROR(SUMIFS(База!AF:AF,База!M:M,"*СПБ 4",База!T:T,"*",База!J:J,"&lt;&gt;SPZ*",База!O:O,Шаблон_пополнения!R2)/SUMIFS(База!Q:Q,База!M:M,"*СПБ 4",База!T:T,"*",База!J:J,"&lt;&gt;SPZ*",База!O:O,Шаблон_пополнения!R2),0)</f>
        <v>0</v>
      </c>
      <c r="H17" s="33">
        <f ca="1">IFERROR(SUMIFS(База!AF:AF,База!M:M,"*СПБ 5",База!T:T,"*",База!J:J,"&lt;&gt;SPZ*",База!O:O,Шаблон_пополнения!R2)/SUMIFS(База!Q:Q,База!M:M,"*СПБ 5",База!T:T,"*",База!J:J,"&lt;&gt;SPZ*",База!O:O,Шаблон_пополнения!R2),0)</f>
        <v>0</v>
      </c>
      <c r="I17" s="33">
        <f ca="1">IFERROR(SUMIFS(База!AF:AF,База!M:M,"*СПБ 6",База!T:T,"*",База!J:J,"&lt;&gt;SPZ*",База!O:O,Шаблон_пополнения!R2)/SUMIFS(База!Q:Q,База!M:M,"*СПБ 6",База!T:T,"*",База!J:J,"&lt;&gt;SPZ*",База!O:O,Шаблон_пополнения!R2),0)</f>
        <v>0</v>
      </c>
      <c r="J17" s="33">
        <f ca="1">IFERROR(SUMIFS(База!AF:AF,База!M:M,"*СПБ 7",База!T:T,"*",База!J:J,"&lt;&gt;SPZ*",База!O:O,Шаблон_пополнения!R2)/SUMIFS(База!Q:Q,База!M:M,"*СПБ 7",База!T:T,"*",База!J:J,"&lt;&gt;SPZ*",База!O:O,Шаблон_пополнения!R2),0)</f>
        <v>0</v>
      </c>
      <c r="K17" s="33">
        <f ca="1">IFERROR(SUMIFS(База!AF:AF,База!M:M,"*СПБ 8",База!T:T,"*",База!J:J,"&lt;&gt;SPZ*",База!O:O,Шаблон_пополнения!R2)/SUMIFS(База!Q:Q,База!M:M,"*СПБ 8",База!T:T,"*",База!J:J,"&lt;&gt;SPZ*",База!O:O,Шаблон_пополнения!R2),0)</f>
        <v>0</v>
      </c>
    </row>
    <row r="18" spans="1:11" x14ac:dyDescent="0.25">
      <c r="A18" s="60" t="s">
        <v>89</v>
      </c>
      <c r="B18" s="61"/>
      <c r="C18" s="32">
        <f>IFERROR(SUMIFS(База!AF:AF,База!T:T,"",База!J:J,"&lt;&gt;SPZ*",База!J:J,"&lt;&gt;TCH*")/SUMIFS(База!P:P,База!T:T,"",База!J:J,"&lt;&gt;SPZ*",База!J:J,"&lt;&gt;TCH*"),0)</f>
        <v>0</v>
      </c>
      <c r="D18" s="33">
        <f>IFERROR(SUMIFS(База!AF:AF,База!M:M,"*СПБ",База!T:T,"",База!J:J,"&lt;&gt;SPZ*",База!J:J,"&lt;&gt;TCH*")/SUMIFS(База!P:P,База!M:M,"*СПБ",База!T:T,"",База!J:J,"&lt;&gt;SPZ*",База!J:J,"&lt;&gt;TCH*"),0)</f>
        <v>0</v>
      </c>
      <c r="E18" s="33">
        <f>IFERROR(SUMIFS(База!AF:AF,База!M:M,"*СПБ 2",База!T:T,"",База!J:J,"&lt;&gt;SPZ*",База!J:J,"&lt;&gt;TCH*")/SUMIFS(База!P:P,База!M:M,"*СПБ 2",База!T:T,"",База!J:J,"&lt;&gt;SPZ*",База!J:J,"&lt;&gt;TCH*"),0)</f>
        <v>0</v>
      </c>
      <c r="F18" s="33">
        <f>IFERROR(SUMIFS(База!AF:AF,База!M:M,"*СПБ 3",База!T:T,"",База!J:J,"&lt;&gt;SPZ*",База!J:J,"&lt;&gt;TCH*")/SUMIFS(База!P:P,База!M:M,"*СПБ 3",База!T:T,"",База!J:J,"&lt;&gt;SPZ*",База!J:J,"&lt;&gt;TCH*"),0)</f>
        <v>0</v>
      </c>
      <c r="G18" s="33">
        <f>IFERROR(SUMIFS(База!AF:AF,База!M:M,"*СПБ 4",База!T:T,"",База!J:J,"&lt;&gt;SPZ*",База!J:J,"&lt;&gt;TCH*")/SUMIFS(База!P:P,База!M:M,"*СПБ 4",База!T:T,"",База!J:J,"&lt;&gt;SPZ*",База!J:J,"&lt;&gt;TCH*"),0)</f>
        <v>0</v>
      </c>
      <c r="H18" s="33">
        <f>IFERROR(SUMIFS(База!AF:AF,База!M:M,"*СПБ 5",База!T:T,"",База!J:J,"&lt;&gt;SPZ*",База!J:J,"&lt;&gt;TCH*")/SUMIFS(База!P:P,База!M:M,"*СПБ 5",База!T:T,"",База!J:J,"&lt;&gt;SPZ*",База!J:J,"&lt;&gt;TCH*"),0)</f>
        <v>0</v>
      </c>
      <c r="I18" s="33">
        <f>IFERROR(SUMIFS(База!AF:AF,База!M:M,"*СПБ 6",База!T:T,"",База!J:J,"&lt;&gt;SPZ*",База!J:J,"&lt;&gt;TCH*")/SUMIFS(База!P:P,База!M:M,"*СПБ 6",База!T:T,"",База!J:J,"&lt;&gt;SPZ*",База!J:J,"&lt;&gt;TCH*"),0)</f>
        <v>0</v>
      </c>
      <c r="J18" s="33">
        <f>IFERROR(SUMIFS(База!AF:AF,База!M:M,"*СПБ 7",База!T:T,"",База!J:J,"&lt;&gt;SPZ*",База!J:J,"&lt;&gt;TCH*")/SUMIFS(База!P:P,База!M:M,"*СПБ 7",База!T:T,"",База!J:J,"&lt;&gt;SPZ*",База!J:J,"&lt;&gt;TCH*"),0)</f>
        <v>0</v>
      </c>
      <c r="K18" s="33">
        <f>IFERROR(SUMIFS(База!AF:AF,База!M:M,"*СПБ 8",База!T:T,"",База!J:J,"&lt;&gt;SPZ*",База!J:J,"&lt;&gt;TCH*")/SUMIFS(База!P:P,База!M:M,"*СПБ 8",База!T:T,"",База!J:J,"&lt;&gt;SPZ*",База!J:J,"&lt;&gt;TCH*"),0)</f>
        <v>0</v>
      </c>
    </row>
    <row r="19" spans="1:11" x14ac:dyDescent="0.25">
      <c r="A19" s="52" t="s">
        <v>90</v>
      </c>
      <c r="B19" s="53"/>
      <c r="C19" s="32">
        <f>IFERROR(SUMIFS(База!AF:AF,База!T:T,"",База!J:J,"&lt;&gt;SPZ*",База!J:J,"&lt;&gt;TCH*")/SUMIFS(База!Q:Q,База!T:T,"",База!J:J,"&lt;&gt;SPZ*",База!J:J,"&lt;&gt;TCH*"),0)</f>
        <v>0</v>
      </c>
      <c r="D19" s="33">
        <f>IFERROR(SUMIFS(База!AF:AF,База!M:M,"*СПБ",База!T:T,"",База!J:J,"&lt;&gt;SPZ*",База!J:J,"&lt;&gt;TCH*")/SUMIFS(База!Q:Q,База!M:M,"*СПБ",База!T:T,"",База!J:J,"&lt;&gt;SPZ*",База!J:J,"&lt;&gt;TCH*"),0)</f>
        <v>0</v>
      </c>
      <c r="E19" s="33">
        <f>IFERROR(SUMIFS(База!AF:AF,База!M:M,"*СПБ 2",База!T:T,"",База!J:J,"&lt;&gt;SPZ*",База!J:J,"&lt;&gt;TCH*")/SUMIFS(База!Q:Q,База!M:M,"*СПБ 2",База!T:T,"",База!J:J,"&lt;&gt;SPZ*",База!J:J,"&lt;&gt;TCH*"),0)</f>
        <v>0</v>
      </c>
      <c r="F19" s="33">
        <f>IFERROR(SUMIFS(База!AF:AF,База!M:M,"*СПБ 3",База!T:T,"",База!J:J,"&lt;&gt;SPZ*",База!J:J,"&lt;&gt;TCH*")/SUMIFS(База!Q:Q,База!M:M,"*СПБ 3",База!T:T,"",База!J:J,"&lt;&gt;SPZ*",База!J:J,"&lt;&gt;TCH*"),0)</f>
        <v>0</v>
      </c>
      <c r="G19" s="33">
        <f>IFERROR(SUMIFS(База!AF:AF,База!M:M,"*СПБ 4",База!T:T,"",База!J:J,"&lt;&gt;SPZ*",База!J:J,"&lt;&gt;TCH*")/SUMIFS(База!Q:Q,База!M:M,"*СПБ 4",База!T:T,"",База!J:J,"&lt;&gt;SPZ*",База!J:J,"&lt;&gt;TCH*"),0)</f>
        <v>0</v>
      </c>
      <c r="H19" s="33">
        <f>IFERROR(SUMIFS(База!AF:AF,База!M:M,"*СПБ 5",База!T:T,"",База!J:J,"&lt;&gt;SPZ*",База!J:J,"&lt;&gt;TCH*")/SUMIFS(База!Q:Q,База!M:M,"*СПБ 5",База!T:T,"",База!J:J,"&lt;&gt;SPZ*",База!J:J,"&lt;&gt;TCH*"),0)</f>
        <v>0</v>
      </c>
      <c r="I19" s="33">
        <f>IFERROR(SUMIFS(База!AF:AF,База!M:M,"*СПБ 6",База!T:T,"",База!J:J,"&lt;&gt;SPZ*",База!J:J,"&lt;&gt;TCH*")/SUMIFS(База!Q:Q,База!M:M,"*СПБ 6",База!T:T,"",База!J:J,"&lt;&gt;SPZ*",База!J:J,"&lt;&gt;TCH*"),0)</f>
        <v>0</v>
      </c>
      <c r="J19" s="33">
        <f>IFERROR(SUMIFS(База!AF:AF,База!M:M,"*СПБ 7",База!T:T,"",База!J:J,"&lt;&gt;SPZ*",База!J:J,"&lt;&gt;TCH*")/SUMIFS(База!Q:Q,База!M:M,"*СПБ 7",База!T:T,"",База!J:J,"&lt;&gt;SPZ*",База!J:J,"&lt;&gt;TCH*"),0)</f>
        <v>0</v>
      </c>
      <c r="K19" s="33">
        <f>IFERROR(SUMIFS(База!AF:AF,База!M:M,"*СПБ 8",База!T:T,"",База!J:J,"&lt;&gt;SPZ*",База!J:J,"&lt;&gt;TCH*")/SUMIFS(База!Q:Q,База!M:M,"*СПБ 8",База!T:T,"",База!J:J,"&lt;&gt;SPZ*",База!J:J,"&lt;&gt;TCH*"),0)</f>
        <v>0</v>
      </c>
    </row>
    <row r="20" spans="1:11" x14ac:dyDescent="0.25">
      <c r="C20" s="13" t="s">
        <v>69</v>
      </c>
      <c r="D20" s="14" t="s">
        <v>53</v>
      </c>
      <c r="E20" s="14" t="s">
        <v>1</v>
      </c>
      <c r="F20" s="14" t="s">
        <v>0</v>
      </c>
      <c r="G20" s="14" t="s">
        <v>2</v>
      </c>
      <c r="H20" s="14" t="s">
        <v>54</v>
      </c>
      <c r="I20" s="14" t="s">
        <v>118</v>
      </c>
      <c r="J20" s="14" t="s">
        <v>119</v>
      </c>
      <c r="K20" s="14" t="s">
        <v>120</v>
      </c>
    </row>
  </sheetData>
  <mergeCells count="13">
    <mergeCell ref="A8:B8"/>
    <mergeCell ref="A3:B3"/>
    <mergeCell ref="A4:B4"/>
    <mergeCell ref="A5:B5"/>
    <mergeCell ref="A6:B6"/>
    <mergeCell ref="A7:B7"/>
    <mergeCell ref="A19:B19"/>
    <mergeCell ref="A9:B9"/>
    <mergeCell ref="A10:B10"/>
    <mergeCell ref="A15:B15"/>
    <mergeCell ref="A16:B16"/>
    <mergeCell ref="A17:B17"/>
    <mergeCell ref="A18:B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ЭтаКнига.письмоРубашкину1">
                <anchor moveWithCells="1" sizeWithCells="1">
                  <from>
                    <xdr:col>12</xdr:col>
                    <xdr:colOff>447675</xdr:colOff>
                    <xdr:row>1</xdr:row>
                    <xdr:rowOff>28575</xdr:rowOff>
                  </from>
                  <to>
                    <xdr:col>15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ЭтаКнига.письмоУКпополнение1">
                <anchor moveWithCells="1" sizeWithCells="1">
                  <from>
                    <xdr:col>12</xdr:col>
                    <xdr:colOff>438150</xdr:colOff>
                    <xdr:row>5</xdr:row>
                    <xdr:rowOff>57150</xdr:rowOff>
                  </from>
                  <to>
                    <xdr:col>15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N100"/>
  <sheetViews>
    <sheetView workbookViewId="0">
      <selection activeCell="M20" sqref="M20"/>
    </sheetView>
  </sheetViews>
  <sheetFormatPr defaultRowHeight="15" x14ac:dyDescent="0.25"/>
  <cols>
    <col min="1" max="1" width="9.140625" customWidth="1"/>
    <col min="2" max="2" width="11.140625" customWidth="1"/>
    <col min="3" max="3" width="13.85546875" bestFit="1" customWidth="1"/>
    <col min="6" max="6" width="9.85546875" bestFit="1" customWidth="1"/>
    <col min="13" max="13" width="23.7109375" customWidth="1"/>
    <col min="14" max="14" width="10.85546875" customWidth="1"/>
    <col min="15" max="15" width="12.5703125" style="2" customWidth="1"/>
    <col min="16" max="16" width="10.5703125" customWidth="1"/>
    <col min="18" max="18" width="10.140625" bestFit="1" customWidth="1"/>
    <col min="20" max="20" width="17" customWidth="1"/>
  </cols>
  <sheetData>
    <row r="1" spans="1:40" x14ac:dyDescent="0.25">
      <c r="A1" s="40" t="str">
        <f t="shared" ref="A1:A2" ca="1" si="0">IFERROR(VALUE(C1&amp;B1),C1&amp;B1)</f>
        <v>Не подписаноНе подписано или новый склад</v>
      </c>
      <c r="B1" s="41" t="str">
        <f ca="1">IF(C1="Б",COUNTIF(C1,"Б"),IF(C1=2,COUNTIF(C1,2),IF(C1=3,COUNTIF(C1,3),IF(C1=4,COUNTIF(C1,4),IF(C1=5,COUNTIF(C1,5),IF(C1=6,COUNTIF(C1,6),IF(C1=7,COUNTIF(C1,7),IF(C1=8,COUNTIF(C1,8),"Не подписано или новый склад"))))))))</f>
        <v>Не подписано или новый склад</v>
      </c>
      <c r="C1" s="42" t="str">
        <f ca="1">IF(AND(T1&lt;&gt;0,LEFT(J1,3)&lt;&gt;"TCH",OR(O1&gt;TODAY(),AND(WEEKDAY(O1,2)=WEEKDAY(TODAY(),2),WEEKDAY(TODAY(),2)=1,NOW()&lt;TODAY()+0.7)),OR(U1&lt;&gt;"МАРКЕТИНГ",AND(U1="МАРКЕТИНГ",O1&gt;TODAY()+1),AND(U1="МАРКЕТИНГ",O1=TODAY()+1,WEEKDAY(O1,2)=WEEKDAY(TODAY(),2)+1,WEEKDAY(TODAY(),2)+1=2,NOW()&lt;TODAY()+0.7))),IFERROR(VALUE(RIGHT(M1,1)),RIGHT(M1,1)),"Не подписано")</f>
        <v>Не подписано</v>
      </c>
      <c r="N1" s="2"/>
      <c r="AC1" s="3"/>
      <c r="AD1" s="3"/>
      <c r="AE1" s="3"/>
      <c r="AF1" s="3"/>
      <c r="AG1" s="3"/>
      <c r="AH1" s="3"/>
      <c r="AI1" s="3"/>
      <c r="AN1" s="3"/>
    </row>
    <row r="2" spans="1:40" x14ac:dyDescent="0.25">
      <c r="A2" s="43" t="str">
        <f t="shared" ca="1" si="0"/>
        <v>Не подписаноНе подписано или новый склад</v>
      </c>
      <c r="B2" s="44" t="str">
        <f ca="1">IF(C2="Б",COUNTIF($C$1:C2,"Б"),IF(C2=2,COUNTIF($C$1:C2,2),IF(C2=3,COUNTIF($C$1:C2,3),IF(C2=4,COUNTIF($C$1:C2,4),IF(C2=5,COUNTIF($C$1:C2,5),IF(C2=6,COUNTIF($C$1:C2,6),IF(C2=7,COUNTIF($C$1:C2,7),IF(C2=8,COUNTIF($C$1:C2,8),"Не подписано или новый склад"))))))))</f>
        <v>Не подписано или новый склад</v>
      </c>
      <c r="C2" s="45" t="str">
        <f t="shared" ref="C2:C65" ca="1" si="1">IF(AND(T2&lt;&gt;0,LEFT(J2,3)&lt;&gt;"TCH",OR(O2&gt;TODAY(),AND(WEEKDAY(O2,2)=WEEKDAY(TODAY(),2),WEEKDAY(TODAY(),2)=1,NOW()&lt;TODAY()+0.7)),OR(U2&lt;&gt;"МАРКЕТИНГ",AND(U2="МАРКЕТИНГ",O2&gt;TODAY()+1),AND(U2="МАРКЕТИНГ",O2=TODAY()+1,WEEKDAY(O2,2)=WEEKDAY(TODAY(),2)+1,WEEKDAY(TODAY(),2)+1=2,NOW()&lt;TODAY()+0.7))),IFERROR(VALUE(RIGHT(M2,1)),RIGHT(M2,1)),"Не подписано")</f>
        <v>Не подписано</v>
      </c>
      <c r="N2" s="2"/>
      <c r="AC2" s="3"/>
      <c r="AD2" s="3"/>
      <c r="AE2" s="3"/>
      <c r="AF2" s="3"/>
      <c r="AG2" s="3"/>
      <c r="AH2" s="3"/>
      <c r="AI2" s="3"/>
      <c r="AN2" s="3"/>
    </row>
    <row r="3" spans="1:40" x14ac:dyDescent="0.25">
      <c r="A3" s="43" t="str">
        <f t="shared" ref="A3:A66" ca="1" si="2">IFERROR(VALUE(C3&amp;B3),C3&amp;B3)</f>
        <v>Не подписаноНе подписано или новый склад</v>
      </c>
      <c r="B3" s="44" t="str">
        <f ca="1">IF(C3="Б",COUNTIF($C$1:C3,"Б"),IF(C3=2,COUNTIF($C$1:C3,2),IF(C3=3,COUNTIF($C$1:C3,3),IF(C3=4,COUNTIF($C$1:C3,4),IF(C3=5,COUNTIF($C$1:C3,5),IF(C3=6,COUNTIF($C$1:C3,6),IF(C3=7,COUNTIF($C$1:C3,7),IF(C3=8,COUNTIF($C$1:C3,8),"Не подписано или новый склад"))))))))</f>
        <v>Не подписано или новый склад</v>
      </c>
      <c r="C3" s="45" t="str">
        <f t="shared" ca="1" si="1"/>
        <v>Не подписано</v>
      </c>
      <c r="N3" s="2"/>
      <c r="AC3" s="3"/>
      <c r="AD3" s="3"/>
      <c r="AE3" s="3"/>
      <c r="AF3" s="3"/>
      <c r="AG3" s="3"/>
      <c r="AH3" s="3"/>
      <c r="AI3" s="3"/>
      <c r="AL3" s="3"/>
    </row>
    <row r="4" spans="1:40" x14ac:dyDescent="0.25">
      <c r="A4" s="43" t="str">
        <f t="shared" ca="1" si="2"/>
        <v>Не подписаноНе подписано или новый склад</v>
      </c>
      <c r="B4" s="44" t="str">
        <f ca="1">IF(C4="Б",COUNTIF($C$1:C4,"Б"),IF(C4=2,COUNTIF($C$1:C4,2),IF(C4=3,COUNTIF($C$1:C4,3),IF(C4=4,COUNTIF($C$1:C4,4),IF(C4=5,COUNTIF($C$1:C4,5),IF(C4=6,COUNTIF($C$1:C4,6),IF(C4=7,COUNTIF($C$1:C4,7),IF(C4=8,COUNTIF($C$1:C4,8),"Не подписано или новый склад"))))))))</f>
        <v>Не подписано или новый склад</v>
      </c>
      <c r="C4" s="45" t="str">
        <f t="shared" ca="1" si="1"/>
        <v>Не подписано</v>
      </c>
      <c r="N4" s="2"/>
      <c r="AC4" s="3"/>
      <c r="AD4" s="3"/>
      <c r="AE4" s="3"/>
      <c r="AF4" s="3"/>
      <c r="AG4" s="3"/>
      <c r="AH4" s="3"/>
      <c r="AI4" s="3"/>
      <c r="AN4" s="3"/>
    </row>
    <row r="5" spans="1:40" x14ac:dyDescent="0.25">
      <c r="A5" s="43" t="str">
        <f t="shared" ca="1" si="2"/>
        <v>Не подписаноНе подписано или новый склад</v>
      </c>
      <c r="B5" s="44" t="str">
        <f ca="1">IF(C5="Б",COUNTIF($C$1:C5,"Б"),IF(C5=2,COUNTIF($C$1:C5,2),IF(C5=3,COUNTIF($C$1:C5,3),IF(C5=4,COUNTIF($C$1:C5,4),IF(C5=5,COUNTIF($C$1:C5,5),IF(C5=6,COUNTIF($C$1:C5,6),IF(C5=7,COUNTIF($C$1:C5,7),IF(C5=8,COUNTIF($C$1:C5,8),"Не подписано или новый склад"))))))))</f>
        <v>Не подписано или новый склад</v>
      </c>
      <c r="C5" s="45" t="str">
        <f t="shared" ca="1" si="1"/>
        <v>Не подписано</v>
      </c>
      <c r="N5" s="2"/>
      <c r="AC5" s="3"/>
      <c r="AD5" s="3"/>
      <c r="AE5" s="3"/>
      <c r="AF5" s="3"/>
      <c r="AG5" s="3"/>
      <c r="AH5" s="3"/>
      <c r="AI5" s="3"/>
      <c r="AN5" s="3"/>
    </row>
    <row r="6" spans="1:40" x14ac:dyDescent="0.25">
      <c r="A6" s="43" t="str">
        <f t="shared" ca="1" si="2"/>
        <v>Не подписаноНе подписано или новый склад</v>
      </c>
      <c r="B6" s="44" t="str">
        <f ca="1">IF(C6="Б",COUNTIF($C$1:C6,"Б"),IF(C6=2,COUNTIF($C$1:C6,2),IF(C6=3,COUNTIF($C$1:C6,3),IF(C6=4,COUNTIF($C$1:C6,4),IF(C6=5,COUNTIF($C$1:C6,5),IF(C6=6,COUNTIF($C$1:C6,6),IF(C6=7,COUNTIF($C$1:C6,7),IF(C6=8,COUNTIF($C$1:C6,8),"Не подписано или новый склад"))))))))</f>
        <v>Не подписано или новый склад</v>
      </c>
      <c r="C6" s="45" t="str">
        <f t="shared" ca="1" si="1"/>
        <v>Не подписано</v>
      </c>
      <c r="N6" s="2"/>
      <c r="AC6" s="3"/>
      <c r="AD6" s="3"/>
      <c r="AE6" s="3"/>
      <c r="AF6" s="3"/>
      <c r="AG6" s="3"/>
      <c r="AH6" s="3"/>
      <c r="AI6" s="3"/>
      <c r="AN6" s="3"/>
    </row>
    <row r="7" spans="1:40" x14ac:dyDescent="0.25">
      <c r="A7" s="43" t="str">
        <f t="shared" ca="1" si="2"/>
        <v>Не подписаноНе подписано или новый склад</v>
      </c>
      <c r="B7" s="44" t="str">
        <f ca="1">IF(C7="Б",COUNTIF($C$1:C7,"Б"),IF(C7=2,COUNTIF($C$1:C7,2),IF(C7=3,COUNTIF($C$1:C7,3),IF(C7=4,COUNTIF($C$1:C7,4),IF(C7=5,COUNTIF($C$1:C7,5),IF(C7=6,COUNTIF($C$1:C7,6),IF(C7=7,COUNTIF($C$1:C7,7),IF(C7=8,COUNTIF($C$1:C7,8),"Не подписано или новый склад"))))))))</f>
        <v>Не подписано или новый склад</v>
      </c>
      <c r="C7" s="45" t="str">
        <f t="shared" ca="1" si="1"/>
        <v>Не подписано</v>
      </c>
      <c r="N7" s="2"/>
      <c r="AC7" s="3"/>
      <c r="AD7" s="3"/>
      <c r="AE7" s="3"/>
      <c r="AF7" s="3"/>
      <c r="AG7" s="3"/>
      <c r="AH7" s="3"/>
      <c r="AI7" s="3"/>
      <c r="AN7" s="3"/>
    </row>
    <row r="8" spans="1:40" x14ac:dyDescent="0.25">
      <c r="A8" s="43" t="str">
        <f t="shared" ca="1" si="2"/>
        <v>Не подписаноНе подписано или новый склад</v>
      </c>
      <c r="B8" s="44" t="str">
        <f ca="1">IF(C8="Б",COUNTIF($C$1:C8,"Б"),IF(C8=2,COUNTIF($C$1:C8,2),IF(C8=3,COUNTIF($C$1:C8,3),IF(C8=4,COUNTIF($C$1:C8,4),IF(C8=5,COUNTIF($C$1:C8,5),IF(C8=6,COUNTIF($C$1:C8,6),IF(C8=7,COUNTIF($C$1:C8,7),IF(C8=8,COUNTIF($C$1:C8,8),"Не подписано или новый склад"))))))))</f>
        <v>Не подписано или новый склад</v>
      </c>
      <c r="C8" s="45" t="str">
        <f t="shared" ca="1" si="1"/>
        <v>Не подписано</v>
      </c>
      <c r="N8" s="2"/>
      <c r="AC8" s="3"/>
      <c r="AD8" s="3"/>
      <c r="AE8" s="3"/>
      <c r="AF8" s="3"/>
      <c r="AG8" s="3"/>
      <c r="AH8" s="3"/>
      <c r="AI8" s="3"/>
      <c r="AL8" s="3"/>
      <c r="AN8" s="3"/>
    </row>
    <row r="9" spans="1:40" x14ac:dyDescent="0.25">
      <c r="A9" s="43" t="str">
        <f t="shared" ca="1" si="2"/>
        <v>Не подписаноНе подписано или новый склад</v>
      </c>
      <c r="B9" s="44" t="str">
        <f ca="1">IF(C9="Б",COUNTIF($C$1:C9,"Б"),IF(C9=2,COUNTIF($C$1:C9,2),IF(C9=3,COUNTIF($C$1:C9,3),IF(C9=4,COUNTIF($C$1:C9,4),IF(C9=5,COUNTIF($C$1:C9,5),IF(C9=6,COUNTIF($C$1:C9,6),IF(C9=7,COUNTIF($C$1:C9,7),IF(C9=8,COUNTIF($C$1:C9,8),"Не подписано или новый склад"))))))))</f>
        <v>Не подписано или новый склад</v>
      </c>
      <c r="C9" s="45" t="str">
        <f t="shared" ca="1" si="1"/>
        <v>Не подписано</v>
      </c>
      <c r="N9" s="2"/>
      <c r="AC9" s="3"/>
      <c r="AD9" s="3"/>
      <c r="AE9" s="3"/>
      <c r="AF9" s="3"/>
      <c r="AG9" s="3"/>
      <c r="AH9" s="3"/>
      <c r="AI9" s="3"/>
    </row>
    <row r="10" spans="1:40" x14ac:dyDescent="0.25">
      <c r="A10" s="43" t="str">
        <f t="shared" ca="1" si="2"/>
        <v>Не подписаноНе подписано или новый склад</v>
      </c>
      <c r="B10" s="44" t="str">
        <f ca="1">IF(C10="Б",COUNTIF($C$1:C10,"Б"),IF(C10=2,COUNTIF($C$1:C10,2),IF(C10=3,COUNTIF($C$1:C10,3),IF(C10=4,COUNTIF($C$1:C10,4),IF(C10=5,COUNTIF($C$1:C10,5),IF(C10=6,COUNTIF($C$1:C10,6),IF(C10=7,COUNTIF($C$1:C10,7),IF(C10=8,COUNTIF($C$1:C10,8),"Не подписано или новый склад"))))))))</f>
        <v>Не подписано или новый склад</v>
      </c>
      <c r="C10" s="45" t="str">
        <f t="shared" ca="1" si="1"/>
        <v>Не подписано</v>
      </c>
      <c r="N10" s="2"/>
      <c r="AC10" s="3"/>
      <c r="AD10" s="3"/>
      <c r="AE10" s="3"/>
      <c r="AF10" s="3"/>
      <c r="AG10" s="3"/>
      <c r="AH10" s="3"/>
      <c r="AI10" s="3"/>
      <c r="AN10" s="3"/>
    </row>
    <row r="11" spans="1:40" x14ac:dyDescent="0.25">
      <c r="A11" s="43" t="str">
        <f t="shared" ca="1" si="2"/>
        <v>Не подписаноНе подписано или новый склад</v>
      </c>
      <c r="B11" s="44" t="str">
        <f ca="1">IF(C11="Б",COUNTIF($C$1:C11,"Б"),IF(C11=2,COUNTIF($C$1:C11,2),IF(C11=3,COUNTIF($C$1:C11,3),IF(C11=4,COUNTIF($C$1:C11,4),IF(C11=5,COUNTIF($C$1:C11,5),IF(C11=6,COUNTIF($C$1:C11,6),IF(C11=7,COUNTIF($C$1:C11,7),IF(C11=8,COUNTIF($C$1:C11,8),"Не подписано или новый склад"))))))))</f>
        <v>Не подписано или новый склад</v>
      </c>
      <c r="C11" s="45" t="str">
        <f t="shared" ca="1" si="1"/>
        <v>Не подписано</v>
      </c>
      <c r="N11" s="2"/>
      <c r="AC11" s="3"/>
      <c r="AD11" s="3"/>
      <c r="AE11" s="3"/>
      <c r="AF11" s="3"/>
      <c r="AG11" s="3"/>
      <c r="AH11" s="3"/>
      <c r="AI11" s="3"/>
      <c r="AN11" s="3"/>
    </row>
    <row r="12" spans="1:40" x14ac:dyDescent="0.25">
      <c r="A12" s="43" t="str">
        <f t="shared" ca="1" si="2"/>
        <v>Не подписаноНе подписано или новый склад</v>
      </c>
      <c r="B12" s="44" t="str">
        <f ca="1">IF(C12="Б",COUNTIF($C$1:C12,"Б"),IF(C12=2,COUNTIF($C$1:C12,2),IF(C12=3,COUNTIF($C$1:C12,3),IF(C12=4,COUNTIF($C$1:C12,4),IF(C12=5,COUNTIF($C$1:C12,5),IF(C12=6,COUNTIF($C$1:C12,6),IF(C12=7,COUNTIF($C$1:C12,7),IF(C12=8,COUNTIF($C$1:C12,8),"Не подписано или новый склад"))))))))</f>
        <v>Не подписано или новый склад</v>
      </c>
      <c r="C12" s="45" t="str">
        <f t="shared" ca="1" si="1"/>
        <v>Не подписано</v>
      </c>
      <c r="N12" s="2"/>
      <c r="AC12" s="3"/>
      <c r="AD12" s="3"/>
      <c r="AE12" s="3"/>
      <c r="AF12" s="3"/>
      <c r="AG12" s="3"/>
      <c r="AH12" s="3"/>
      <c r="AI12" s="3"/>
      <c r="AL12" s="3"/>
    </row>
    <row r="13" spans="1:40" x14ac:dyDescent="0.25">
      <c r="A13" s="43" t="str">
        <f t="shared" ca="1" si="2"/>
        <v>Не подписаноНе подписано или новый склад</v>
      </c>
      <c r="B13" s="44" t="str">
        <f ca="1">IF(C13="Б",COUNTIF($C$1:C13,"Б"),IF(C13=2,COUNTIF($C$1:C13,2),IF(C13=3,COUNTIF($C$1:C13,3),IF(C13=4,COUNTIF($C$1:C13,4),IF(C13=5,COUNTIF($C$1:C13,5),IF(C13=6,COUNTIF($C$1:C13,6),IF(C13=7,COUNTIF($C$1:C13,7),IF(C13=8,COUNTIF($C$1:C13,8),"Не подписано или новый склад"))))))))</f>
        <v>Не подписано или новый склад</v>
      </c>
      <c r="C13" s="45" t="str">
        <f t="shared" ca="1" si="1"/>
        <v>Не подписано</v>
      </c>
      <c r="N13" s="2"/>
      <c r="AC13" s="3"/>
      <c r="AD13" s="3"/>
      <c r="AE13" s="3"/>
      <c r="AF13" s="3"/>
      <c r="AG13" s="3"/>
      <c r="AH13" s="3"/>
      <c r="AI13" s="3"/>
      <c r="AN13" s="3"/>
    </row>
    <row r="14" spans="1:40" x14ac:dyDescent="0.25">
      <c r="A14" s="43" t="str">
        <f t="shared" ca="1" si="2"/>
        <v>Не подписаноНе подписано или новый склад</v>
      </c>
      <c r="B14" s="44" t="str">
        <f ca="1">IF(C14="Б",COUNTIF($C$1:C14,"Б"),IF(C14=2,COUNTIF($C$1:C14,2),IF(C14=3,COUNTIF($C$1:C14,3),IF(C14=4,COUNTIF($C$1:C14,4),IF(C14=5,COUNTIF($C$1:C14,5),IF(C14=6,COUNTIF($C$1:C14,6),IF(C14=7,COUNTIF($C$1:C14,7),IF(C14=8,COUNTIF($C$1:C14,8),"Не подписано или новый склад"))))))))</f>
        <v>Не подписано или новый склад</v>
      </c>
      <c r="C14" s="45" t="str">
        <f t="shared" ca="1" si="1"/>
        <v>Не подписано</v>
      </c>
      <c r="N14" s="2"/>
      <c r="AC14" s="3"/>
      <c r="AD14" s="3"/>
      <c r="AE14" s="3"/>
      <c r="AF14" s="3"/>
      <c r="AG14" s="3"/>
      <c r="AH14" s="3"/>
      <c r="AI14" s="3"/>
    </row>
    <row r="15" spans="1:40" x14ac:dyDescent="0.25">
      <c r="A15" s="43" t="str">
        <f t="shared" ca="1" si="2"/>
        <v>Не подписаноНе подписано или новый склад</v>
      </c>
      <c r="B15" s="44" t="str">
        <f ca="1">IF(C15="Б",COUNTIF($C$1:C15,"Б"),IF(C15=2,COUNTIF($C$1:C15,2),IF(C15=3,COUNTIF($C$1:C15,3),IF(C15=4,COUNTIF($C$1:C15,4),IF(C15=5,COUNTIF($C$1:C15,5),IF(C15=6,COUNTIF($C$1:C15,6),IF(C15=7,COUNTIF($C$1:C15,7),IF(C15=8,COUNTIF($C$1:C15,8),"Не подписано или новый склад"))))))))</f>
        <v>Не подписано или новый склад</v>
      </c>
      <c r="C15" s="45" t="str">
        <f t="shared" ca="1" si="1"/>
        <v>Не подписано</v>
      </c>
      <c r="N15" s="2"/>
      <c r="AC15" s="3"/>
      <c r="AD15" s="3"/>
      <c r="AE15" s="3"/>
      <c r="AF15" s="3"/>
      <c r="AG15" s="3"/>
      <c r="AH15" s="3"/>
      <c r="AI15" s="3"/>
      <c r="AN15" s="3"/>
    </row>
    <row r="16" spans="1:40" x14ac:dyDescent="0.25">
      <c r="A16" s="43" t="str">
        <f t="shared" ca="1" si="2"/>
        <v>Не подписаноНе подписано или новый склад</v>
      </c>
      <c r="B16" s="44" t="str">
        <f ca="1">IF(C16="Б",COUNTIF($C$1:C16,"Б"),IF(C16=2,COUNTIF($C$1:C16,2),IF(C16=3,COUNTIF($C$1:C16,3),IF(C16=4,COUNTIF($C$1:C16,4),IF(C16=5,COUNTIF($C$1:C16,5),IF(C16=6,COUNTIF($C$1:C16,6),IF(C16=7,COUNTIF($C$1:C16,7),IF(C16=8,COUNTIF($C$1:C16,8),"Не подписано или новый склад"))))))))</f>
        <v>Не подписано или новый склад</v>
      </c>
      <c r="C16" s="45" t="str">
        <f t="shared" ca="1" si="1"/>
        <v>Не подписано</v>
      </c>
      <c r="N16" s="2"/>
      <c r="AC16" s="3"/>
      <c r="AD16" s="3"/>
      <c r="AE16" s="3"/>
      <c r="AF16" s="3"/>
      <c r="AG16" s="3"/>
      <c r="AH16" s="3"/>
      <c r="AI16" s="3"/>
    </row>
    <row r="17" spans="1:40" x14ac:dyDescent="0.25">
      <c r="A17" s="43" t="str">
        <f t="shared" ca="1" si="2"/>
        <v>Не подписаноНе подписано или новый склад</v>
      </c>
      <c r="B17" s="44" t="str">
        <f ca="1">IF(C17="Б",COUNTIF($C$1:C17,"Б"),IF(C17=2,COUNTIF($C$1:C17,2),IF(C17=3,COUNTIF($C$1:C17,3),IF(C17=4,COUNTIF($C$1:C17,4),IF(C17=5,COUNTIF($C$1:C17,5),IF(C17=6,COUNTIF($C$1:C17,6),IF(C17=7,COUNTIF($C$1:C17,7),IF(C17=8,COUNTIF($C$1:C17,8),"Не подписано или новый склад"))))))))</f>
        <v>Не подписано или новый склад</v>
      </c>
      <c r="C17" s="45" t="str">
        <f t="shared" ca="1" si="1"/>
        <v>Не подписано</v>
      </c>
      <c r="N17" s="2"/>
      <c r="AC17" s="3"/>
      <c r="AD17" s="3"/>
      <c r="AE17" s="3"/>
      <c r="AF17" s="3"/>
      <c r="AG17" s="3"/>
      <c r="AH17" s="3"/>
      <c r="AI17" s="3"/>
      <c r="AN17" s="3"/>
    </row>
    <row r="18" spans="1:40" x14ac:dyDescent="0.25">
      <c r="A18" s="43" t="str">
        <f t="shared" ca="1" si="2"/>
        <v>Не подписаноНе подписано или новый склад</v>
      </c>
      <c r="B18" s="44" t="str">
        <f ca="1">IF(C18="Б",COUNTIF($C$1:C18,"Б"),IF(C18=2,COUNTIF($C$1:C18,2),IF(C18=3,COUNTIF($C$1:C18,3),IF(C18=4,COUNTIF($C$1:C18,4),IF(C18=5,COUNTIF($C$1:C18,5),IF(C18=6,COUNTIF($C$1:C18,6),IF(C18=7,COUNTIF($C$1:C18,7),IF(C18=8,COUNTIF($C$1:C18,8),"Не подписано или новый склад"))))))))</f>
        <v>Не подписано или новый склад</v>
      </c>
      <c r="C18" s="45" t="str">
        <f t="shared" ca="1" si="1"/>
        <v>Не подписано</v>
      </c>
      <c r="N18" s="2"/>
      <c r="AC18" s="3"/>
      <c r="AD18" s="3"/>
      <c r="AE18" s="3"/>
      <c r="AF18" s="3"/>
      <c r="AG18" s="3"/>
      <c r="AH18" s="3"/>
      <c r="AI18" s="3"/>
    </row>
    <row r="19" spans="1:40" x14ac:dyDescent="0.25">
      <c r="A19" s="43" t="str">
        <f t="shared" ca="1" si="2"/>
        <v>Не подписаноНе подписано или новый склад</v>
      </c>
      <c r="B19" s="44" t="str">
        <f ca="1">IF(C19="Б",COUNTIF($C$1:C19,"Б"),IF(C19=2,COUNTIF($C$1:C19,2),IF(C19=3,COUNTIF($C$1:C19,3),IF(C19=4,COUNTIF($C$1:C19,4),IF(C19=5,COUNTIF($C$1:C19,5),IF(C19=6,COUNTIF($C$1:C19,6),IF(C19=7,COUNTIF($C$1:C19,7),IF(C19=8,COUNTIF($C$1:C19,8),"Не подписано или новый склад"))))))))</f>
        <v>Не подписано или новый склад</v>
      </c>
      <c r="C19" s="45" t="str">
        <f t="shared" ca="1" si="1"/>
        <v>Не подписано</v>
      </c>
      <c r="N19" s="2"/>
      <c r="AC19" s="3"/>
      <c r="AD19" s="3"/>
      <c r="AE19" s="3"/>
      <c r="AF19" s="3"/>
      <c r="AG19" s="3"/>
      <c r="AH19" s="3"/>
      <c r="AI19" s="3"/>
      <c r="AN19" s="3"/>
    </row>
    <row r="20" spans="1:40" x14ac:dyDescent="0.25">
      <c r="A20" s="43" t="str">
        <f t="shared" ca="1" si="2"/>
        <v>Не подписаноНе подписано или новый склад</v>
      </c>
      <c r="B20" s="44" t="str">
        <f ca="1">IF(C20="Б",COUNTIF($C$1:C20,"Б"),IF(C20=2,COUNTIF($C$1:C20,2),IF(C20=3,COUNTIF($C$1:C20,3),IF(C20=4,COUNTIF($C$1:C20,4),IF(C20=5,COUNTIF($C$1:C20,5),IF(C20=6,COUNTIF($C$1:C20,6),IF(C20=7,COUNTIF($C$1:C20,7),IF(C20=8,COUNTIF($C$1:C20,8),"Не подписано или новый склад"))))))))</f>
        <v>Не подписано или новый склад</v>
      </c>
      <c r="C20" s="45" t="str">
        <f t="shared" ca="1" si="1"/>
        <v>Не подписано</v>
      </c>
      <c r="N20" s="2"/>
      <c r="AC20" s="3"/>
      <c r="AD20" s="3"/>
      <c r="AE20" s="3"/>
      <c r="AF20" s="3"/>
      <c r="AG20" s="3"/>
      <c r="AH20" s="3"/>
      <c r="AI20" s="3"/>
      <c r="AN20" s="3"/>
    </row>
    <row r="21" spans="1:40" x14ac:dyDescent="0.25">
      <c r="A21" s="43" t="str">
        <f t="shared" ca="1" si="2"/>
        <v>Не подписаноНе подписано или новый склад</v>
      </c>
      <c r="B21" s="44" t="str">
        <f ca="1">IF(C21="Б",COUNTIF($C$1:C21,"Б"),IF(C21=2,COUNTIF($C$1:C21,2),IF(C21=3,COUNTIF($C$1:C21,3),IF(C21=4,COUNTIF($C$1:C21,4),IF(C21=5,COUNTIF($C$1:C21,5),IF(C21=6,COUNTIF($C$1:C21,6),IF(C21=7,COUNTIF($C$1:C21,7),IF(C21=8,COUNTIF($C$1:C21,8),"Не подписано или новый склад"))))))))</f>
        <v>Не подписано или новый склад</v>
      </c>
      <c r="C21" s="45" t="str">
        <f t="shared" ca="1" si="1"/>
        <v>Не подписано</v>
      </c>
      <c r="N21" s="2"/>
      <c r="AC21" s="3"/>
      <c r="AD21" s="3"/>
      <c r="AE21" s="3"/>
      <c r="AF21" s="3"/>
      <c r="AG21" s="3"/>
      <c r="AH21" s="3"/>
      <c r="AI21" s="3"/>
    </row>
    <row r="22" spans="1:40" x14ac:dyDescent="0.25">
      <c r="A22" s="43" t="str">
        <f t="shared" ca="1" si="2"/>
        <v>Не подписаноНе подписано или новый склад</v>
      </c>
      <c r="B22" s="44" t="str">
        <f ca="1">IF(C22="Б",COUNTIF($C$1:C22,"Б"),IF(C22=2,COUNTIF($C$1:C22,2),IF(C22=3,COUNTIF($C$1:C22,3),IF(C22=4,COUNTIF($C$1:C22,4),IF(C22=5,COUNTIF($C$1:C22,5),IF(C22=6,COUNTIF($C$1:C22,6),IF(C22=7,COUNTIF($C$1:C22,7),IF(C22=8,COUNTIF($C$1:C22,8),"Не подписано или новый склад"))))))))</f>
        <v>Не подписано или новый склад</v>
      </c>
      <c r="C22" s="45" t="str">
        <f t="shared" ca="1" si="1"/>
        <v>Не подписано</v>
      </c>
      <c r="N22" s="2"/>
      <c r="AC22" s="3"/>
      <c r="AD22" s="3"/>
      <c r="AE22" s="3"/>
      <c r="AF22" s="3"/>
      <c r="AG22" s="3"/>
      <c r="AH22" s="3"/>
      <c r="AI22" s="3"/>
    </row>
    <row r="23" spans="1:40" x14ac:dyDescent="0.25">
      <c r="A23" s="43" t="str">
        <f t="shared" ca="1" si="2"/>
        <v>Не подписаноНе подписано или новый склад</v>
      </c>
      <c r="B23" s="44" t="str">
        <f ca="1">IF(C23="Б",COUNTIF($C$1:C23,"Б"),IF(C23=2,COUNTIF($C$1:C23,2),IF(C23=3,COUNTIF($C$1:C23,3),IF(C23=4,COUNTIF($C$1:C23,4),IF(C23=5,COUNTIF($C$1:C23,5),IF(C23=6,COUNTIF($C$1:C23,6),IF(C23=7,COUNTIF($C$1:C23,7),IF(C23=8,COUNTIF($C$1:C23,8),"Не подписано или новый склад"))))))))</f>
        <v>Не подписано или новый склад</v>
      </c>
      <c r="C23" s="45" t="str">
        <f t="shared" ca="1" si="1"/>
        <v>Не подписано</v>
      </c>
      <c r="N23" s="2"/>
      <c r="AC23" s="3"/>
      <c r="AD23" s="3"/>
      <c r="AE23" s="3"/>
      <c r="AF23" s="3"/>
      <c r="AG23" s="3"/>
      <c r="AH23" s="3"/>
      <c r="AI23" s="3"/>
      <c r="AN23" s="3"/>
    </row>
    <row r="24" spans="1:40" x14ac:dyDescent="0.25">
      <c r="A24" s="43" t="str">
        <f t="shared" ca="1" si="2"/>
        <v>Не подписаноНе подписано или новый склад</v>
      </c>
      <c r="B24" s="44" t="str">
        <f ca="1">IF(C24="Б",COUNTIF($C$1:C24,"Б"),IF(C24=2,COUNTIF($C$1:C24,2),IF(C24=3,COUNTIF($C$1:C24,3),IF(C24=4,COUNTIF($C$1:C24,4),IF(C24=5,COUNTIF($C$1:C24,5),IF(C24=6,COUNTIF($C$1:C24,6),IF(C24=7,COUNTIF($C$1:C24,7),IF(C24=8,COUNTIF($C$1:C24,8),"Не подписано или новый склад"))))))))</f>
        <v>Не подписано или новый склад</v>
      </c>
      <c r="C24" s="45" t="str">
        <f t="shared" ca="1" si="1"/>
        <v>Не подписано</v>
      </c>
      <c r="N24" s="2"/>
      <c r="AC24" s="3"/>
      <c r="AD24" s="3"/>
      <c r="AE24" s="3"/>
      <c r="AF24" s="3"/>
      <c r="AG24" s="3"/>
      <c r="AH24" s="3"/>
      <c r="AI24" s="3"/>
    </row>
    <row r="25" spans="1:40" x14ac:dyDescent="0.25">
      <c r="A25" s="43" t="str">
        <f t="shared" ca="1" si="2"/>
        <v>Не подписаноНе подписано или новый склад</v>
      </c>
      <c r="B25" s="44" t="str">
        <f ca="1">IF(C25="Б",COUNTIF($C$1:C25,"Б"),IF(C25=2,COUNTIF($C$1:C25,2),IF(C25=3,COUNTIF($C$1:C25,3),IF(C25=4,COUNTIF($C$1:C25,4),IF(C25=5,COUNTIF($C$1:C25,5),IF(C25=6,COUNTIF($C$1:C25,6),IF(C25=7,COUNTIF($C$1:C25,7),IF(C25=8,COUNTIF($C$1:C25,8),"Не подписано или новый склад"))))))))</f>
        <v>Не подписано или новый склад</v>
      </c>
      <c r="C25" s="45" t="str">
        <f t="shared" ca="1" si="1"/>
        <v>Не подписано</v>
      </c>
      <c r="N25" s="2"/>
      <c r="AC25" s="3"/>
      <c r="AD25" s="3"/>
      <c r="AE25" s="3"/>
      <c r="AF25" s="3"/>
      <c r="AG25" s="3"/>
      <c r="AH25" s="3"/>
      <c r="AI25" s="3"/>
    </row>
    <row r="26" spans="1:40" x14ac:dyDescent="0.25">
      <c r="A26" s="43" t="str">
        <f t="shared" ca="1" si="2"/>
        <v>Не подписаноНе подписано или новый склад</v>
      </c>
      <c r="B26" s="44" t="str">
        <f ca="1">IF(C26="Б",COUNTIF($C$1:C26,"Б"),IF(C26=2,COUNTIF($C$1:C26,2),IF(C26=3,COUNTIF($C$1:C26,3),IF(C26=4,COUNTIF($C$1:C26,4),IF(C26=5,COUNTIF($C$1:C26,5),IF(C26=6,COUNTIF($C$1:C26,6),IF(C26=7,COUNTIF($C$1:C26,7),IF(C26=8,COUNTIF($C$1:C26,8),"Не подписано или новый склад"))))))))</f>
        <v>Не подписано или новый склад</v>
      </c>
      <c r="C26" s="45" t="str">
        <f t="shared" ca="1" si="1"/>
        <v>Не подписано</v>
      </c>
      <c r="N26" s="2"/>
      <c r="AC26" s="3"/>
      <c r="AD26" s="3"/>
      <c r="AE26" s="3"/>
      <c r="AF26" s="3"/>
      <c r="AG26" s="3"/>
      <c r="AH26" s="3"/>
      <c r="AI26" s="3"/>
      <c r="AN26" s="3"/>
    </row>
    <row r="27" spans="1:40" x14ac:dyDescent="0.25">
      <c r="A27" s="43" t="str">
        <f t="shared" ca="1" si="2"/>
        <v>Не подписаноНе подписано или новый склад</v>
      </c>
      <c r="B27" s="44" t="str">
        <f ca="1">IF(C27="Б",COUNTIF($C$1:C27,"Б"),IF(C27=2,COUNTIF($C$1:C27,2),IF(C27=3,COUNTIF($C$1:C27,3),IF(C27=4,COUNTIF($C$1:C27,4),IF(C27=5,COUNTIF($C$1:C27,5),IF(C27=6,COUNTIF($C$1:C27,6),IF(C27=7,COUNTIF($C$1:C27,7),IF(C27=8,COUNTIF($C$1:C27,8),"Не подписано или новый склад"))))))))</f>
        <v>Не подписано или новый склад</v>
      </c>
      <c r="C27" s="45" t="str">
        <f t="shared" ca="1" si="1"/>
        <v>Не подписано</v>
      </c>
      <c r="N27" s="2"/>
      <c r="AC27" s="3"/>
      <c r="AD27" s="3"/>
      <c r="AE27" s="3"/>
      <c r="AF27" s="3"/>
      <c r="AG27" s="3"/>
      <c r="AH27" s="3"/>
      <c r="AI27" s="3"/>
    </row>
    <row r="28" spans="1:40" x14ac:dyDescent="0.25">
      <c r="A28" s="43" t="str">
        <f t="shared" ca="1" si="2"/>
        <v>Не подписаноНе подписано или новый склад</v>
      </c>
      <c r="B28" s="44" t="str">
        <f ca="1">IF(C28="Б",COUNTIF($C$1:C28,"Б"),IF(C28=2,COUNTIF($C$1:C28,2),IF(C28=3,COUNTIF($C$1:C28,3),IF(C28=4,COUNTIF($C$1:C28,4),IF(C28=5,COUNTIF($C$1:C28,5),IF(C28=6,COUNTIF($C$1:C28,6),IF(C28=7,COUNTIF($C$1:C28,7),IF(C28=8,COUNTIF($C$1:C28,8),"Не подписано или новый склад"))))))))</f>
        <v>Не подписано или новый склад</v>
      </c>
      <c r="C28" s="45" t="str">
        <f t="shared" ca="1" si="1"/>
        <v>Не подписано</v>
      </c>
      <c r="N28" s="2"/>
      <c r="AC28" s="3"/>
      <c r="AD28" s="3"/>
      <c r="AE28" s="3"/>
      <c r="AF28" s="3"/>
      <c r="AG28" s="3"/>
      <c r="AH28" s="3"/>
      <c r="AI28" s="3"/>
      <c r="AN28" s="3"/>
    </row>
    <row r="29" spans="1:40" x14ac:dyDescent="0.25">
      <c r="A29" s="43" t="str">
        <f t="shared" ca="1" si="2"/>
        <v>Не подписаноНе подписано или новый склад</v>
      </c>
      <c r="B29" s="44" t="str">
        <f ca="1">IF(C29="Б",COUNTIF($C$1:C29,"Б"),IF(C29=2,COUNTIF($C$1:C29,2),IF(C29=3,COUNTIF($C$1:C29,3),IF(C29=4,COUNTIF($C$1:C29,4),IF(C29=5,COUNTIF($C$1:C29,5),IF(C29=6,COUNTIF($C$1:C29,6),IF(C29=7,COUNTIF($C$1:C29,7),IF(C29=8,COUNTIF($C$1:C29,8),"Не подписано или новый склад"))))))))</f>
        <v>Не подписано или новый склад</v>
      </c>
      <c r="C29" s="45" t="str">
        <f t="shared" ca="1" si="1"/>
        <v>Не подписано</v>
      </c>
      <c r="N29" s="2"/>
      <c r="AC29" s="3"/>
      <c r="AD29" s="3"/>
      <c r="AE29" s="3"/>
      <c r="AF29" s="3"/>
      <c r="AG29" s="3"/>
      <c r="AH29" s="3"/>
      <c r="AI29" s="3"/>
    </row>
    <row r="30" spans="1:40" x14ac:dyDescent="0.25">
      <c r="A30" s="43" t="str">
        <f t="shared" ca="1" si="2"/>
        <v>Не подписаноНе подписано или новый склад</v>
      </c>
      <c r="B30" s="44" t="str">
        <f ca="1">IF(C30="Б",COUNTIF($C$1:C30,"Б"),IF(C30=2,COUNTIF($C$1:C30,2),IF(C30=3,COUNTIF($C$1:C30,3),IF(C30=4,COUNTIF($C$1:C30,4),IF(C30=5,COUNTIF($C$1:C30,5),IF(C30=6,COUNTIF($C$1:C30,6),IF(C30=7,COUNTIF($C$1:C30,7),IF(C30=8,COUNTIF($C$1:C30,8),"Не подписано или новый склад"))))))))</f>
        <v>Не подписано или новый склад</v>
      </c>
      <c r="C30" s="45" t="str">
        <f t="shared" ca="1" si="1"/>
        <v>Не подписано</v>
      </c>
      <c r="N30" s="2"/>
      <c r="AC30" s="3"/>
      <c r="AD30" s="3"/>
      <c r="AE30" s="3"/>
      <c r="AF30" s="3"/>
      <c r="AG30" s="3"/>
      <c r="AH30" s="3"/>
      <c r="AI30" s="3"/>
    </row>
    <row r="31" spans="1:40" x14ac:dyDescent="0.25">
      <c r="A31" s="43" t="str">
        <f t="shared" ca="1" si="2"/>
        <v>Не подписаноНе подписано или новый склад</v>
      </c>
      <c r="B31" s="44" t="str">
        <f ca="1">IF(C31="Б",COUNTIF($C$1:C31,"Б"),IF(C31=2,COUNTIF($C$1:C31,2),IF(C31=3,COUNTIF($C$1:C31,3),IF(C31=4,COUNTIF($C$1:C31,4),IF(C31=5,COUNTIF($C$1:C31,5),IF(C31=6,COUNTIF($C$1:C31,6),IF(C31=7,COUNTIF($C$1:C31,7),IF(C31=8,COUNTIF($C$1:C31,8),"Не подписано или новый склад"))))))))</f>
        <v>Не подписано или новый склад</v>
      </c>
      <c r="C31" s="45" t="str">
        <f t="shared" ca="1" si="1"/>
        <v>Не подписано</v>
      </c>
      <c r="N31" s="2"/>
      <c r="AC31" s="3"/>
      <c r="AD31" s="3"/>
      <c r="AE31" s="3"/>
      <c r="AF31" s="3"/>
      <c r="AG31" s="3"/>
      <c r="AH31" s="3"/>
      <c r="AI31" s="3"/>
    </row>
    <row r="32" spans="1:40" x14ac:dyDescent="0.25">
      <c r="A32" s="43" t="str">
        <f t="shared" ca="1" si="2"/>
        <v>Не подписаноНе подписано или новый склад</v>
      </c>
      <c r="B32" s="44" t="str">
        <f ca="1">IF(C32="Б",COUNTIF($C$1:C32,"Б"),IF(C32=2,COUNTIF($C$1:C32,2),IF(C32=3,COUNTIF($C$1:C32,3),IF(C32=4,COUNTIF($C$1:C32,4),IF(C32=5,COUNTIF($C$1:C32,5),IF(C32=6,COUNTIF($C$1:C32,6),IF(C32=7,COUNTIF($C$1:C32,7),IF(C32=8,COUNTIF($C$1:C32,8),"Не подписано или новый склад"))))))))</f>
        <v>Не подписано или новый склад</v>
      </c>
      <c r="C32" s="45" t="str">
        <f t="shared" ca="1" si="1"/>
        <v>Не подписано</v>
      </c>
      <c r="N32" s="2"/>
      <c r="AC32" s="3"/>
      <c r="AD32" s="3"/>
      <c r="AE32" s="3"/>
      <c r="AF32" s="3"/>
      <c r="AG32" s="3"/>
      <c r="AH32" s="3"/>
      <c r="AI32" s="3"/>
    </row>
    <row r="33" spans="1:40" x14ac:dyDescent="0.25">
      <c r="A33" s="43" t="str">
        <f t="shared" ca="1" si="2"/>
        <v>Не подписаноНе подписано или новый склад</v>
      </c>
      <c r="B33" s="44" t="str">
        <f ca="1">IF(C33="Б",COUNTIF($C$1:C33,"Б"),IF(C33=2,COUNTIF($C$1:C33,2),IF(C33=3,COUNTIF($C$1:C33,3),IF(C33=4,COUNTIF($C$1:C33,4),IF(C33=5,COUNTIF($C$1:C33,5),IF(C33=6,COUNTIF($C$1:C33,6),IF(C33=7,COUNTIF($C$1:C33,7),IF(C33=8,COUNTIF($C$1:C33,8),"Не подписано или новый склад"))))))))</f>
        <v>Не подписано или новый склад</v>
      </c>
      <c r="C33" s="45" t="str">
        <f t="shared" ca="1" si="1"/>
        <v>Не подписано</v>
      </c>
      <c r="N33" s="2"/>
      <c r="AC33" s="3"/>
      <c r="AD33" s="3"/>
      <c r="AE33" s="3"/>
      <c r="AF33" s="3"/>
      <c r="AG33" s="3"/>
      <c r="AH33" s="3"/>
      <c r="AI33" s="3"/>
    </row>
    <row r="34" spans="1:40" x14ac:dyDescent="0.25">
      <c r="A34" s="43" t="str">
        <f t="shared" ca="1" si="2"/>
        <v>Не подписаноНе подписано или новый склад</v>
      </c>
      <c r="B34" s="44" t="str">
        <f ca="1">IF(C34="Б",COUNTIF($C$1:C34,"Б"),IF(C34=2,COUNTIF($C$1:C34,2),IF(C34=3,COUNTIF($C$1:C34,3),IF(C34=4,COUNTIF($C$1:C34,4),IF(C34=5,COUNTIF($C$1:C34,5),IF(C34=6,COUNTIF($C$1:C34,6),IF(C34=7,COUNTIF($C$1:C34,7),IF(C34=8,COUNTIF($C$1:C34,8),"Не подписано или новый склад"))))))))</f>
        <v>Не подписано или новый склад</v>
      </c>
      <c r="C34" s="45" t="str">
        <f t="shared" ca="1" si="1"/>
        <v>Не подписано</v>
      </c>
      <c r="N34" s="2"/>
      <c r="AC34" s="3"/>
      <c r="AD34" s="3"/>
      <c r="AE34" s="3"/>
      <c r="AF34" s="3"/>
      <c r="AG34" s="3"/>
      <c r="AH34" s="3"/>
      <c r="AI34" s="3"/>
      <c r="AN34" s="3"/>
    </row>
    <row r="35" spans="1:40" x14ac:dyDescent="0.25">
      <c r="A35" s="43" t="str">
        <f t="shared" ca="1" si="2"/>
        <v>Не подписаноНе подписано или новый склад</v>
      </c>
      <c r="B35" s="44" t="str">
        <f ca="1">IF(C35="Б",COUNTIF($C$1:C35,"Б"),IF(C35=2,COUNTIF($C$1:C35,2),IF(C35=3,COUNTIF($C$1:C35,3),IF(C35=4,COUNTIF($C$1:C35,4),IF(C35=5,COUNTIF($C$1:C35,5),IF(C35=6,COUNTIF($C$1:C35,6),IF(C35=7,COUNTIF($C$1:C35,7),IF(C35=8,COUNTIF($C$1:C35,8),"Не подписано или новый склад"))))))))</f>
        <v>Не подписано или новый склад</v>
      </c>
      <c r="C35" s="45" t="str">
        <f t="shared" ca="1" si="1"/>
        <v>Не подписано</v>
      </c>
      <c r="N35" s="2"/>
      <c r="AC35" s="3"/>
      <c r="AD35" s="3"/>
      <c r="AE35" s="3"/>
      <c r="AF35" s="3"/>
      <c r="AG35" s="3"/>
      <c r="AH35" s="3"/>
      <c r="AI35" s="3"/>
      <c r="AL35" s="3"/>
    </row>
    <row r="36" spans="1:40" x14ac:dyDescent="0.25">
      <c r="A36" s="43" t="str">
        <f t="shared" ca="1" si="2"/>
        <v>Не подписаноНе подписано или новый склад</v>
      </c>
      <c r="B36" s="44" t="str">
        <f ca="1">IF(C36="Б",COUNTIF($C$1:C36,"Б"),IF(C36=2,COUNTIF($C$1:C36,2),IF(C36=3,COUNTIF($C$1:C36,3),IF(C36=4,COUNTIF($C$1:C36,4),IF(C36=5,COUNTIF($C$1:C36,5),IF(C36=6,COUNTIF($C$1:C36,6),IF(C36=7,COUNTIF($C$1:C36,7),IF(C36=8,COUNTIF($C$1:C36,8),"Не подписано или новый склад"))))))))</f>
        <v>Не подписано или новый склад</v>
      </c>
      <c r="C36" s="45" t="str">
        <f t="shared" ca="1" si="1"/>
        <v>Не подписано</v>
      </c>
      <c r="N36" s="2"/>
      <c r="AC36" s="3"/>
      <c r="AD36" s="3"/>
      <c r="AE36" s="3"/>
      <c r="AF36" s="3"/>
      <c r="AG36" s="3"/>
      <c r="AH36" s="3"/>
      <c r="AI36" s="3"/>
      <c r="AN36" s="3"/>
    </row>
    <row r="37" spans="1:40" x14ac:dyDescent="0.25">
      <c r="A37" s="43" t="str">
        <f t="shared" ca="1" si="2"/>
        <v>Не подписаноНе подписано или новый склад</v>
      </c>
      <c r="B37" s="44" t="str">
        <f ca="1">IF(C37="Б",COUNTIF($C$1:C37,"Б"),IF(C37=2,COUNTIF($C$1:C37,2),IF(C37=3,COUNTIF($C$1:C37,3),IF(C37=4,COUNTIF($C$1:C37,4),IF(C37=5,COUNTIF($C$1:C37,5),IF(C37=6,COUNTIF($C$1:C37,6),IF(C37=7,COUNTIF($C$1:C37,7),IF(C37=8,COUNTIF($C$1:C37,8),"Не подписано или новый склад"))))))))</f>
        <v>Не подписано или новый склад</v>
      </c>
      <c r="C37" s="45" t="str">
        <f t="shared" ca="1" si="1"/>
        <v>Не подписано</v>
      </c>
      <c r="N37" s="2"/>
      <c r="AC37" s="3"/>
      <c r="AD37" s="3"/>
      <c r="AE37" s="3"/>
      <c r="AF37" s="3"/>
      <c r="AG37" s="3"/>
      <c r="AH37" s="3"/>
      <c r="AI37" s="3"/>
      <c r="AN37" s="3"/>
    </row>
    <row r="38" spans="1:40" x14ac:dyDescent="0.25">
      <c r="A38" s="43" t="str">
        <f t="shared" ca="1" si="2"/>
        <v>Не подписаноНе подписано или новый склад</v>
      </c>
      <c r="B38" s="44" t="str">
        <f ca="1">IF(C38="Б",COUNTIF($C$1:C38,"Б"),IF(C38=2,COUNTIF($C$1:C38,2),IF(C38=3,COUNTIF($C$1:C38,3),IF(C38=4,COUNTIF($C$1:C38,4),IF(C38=5,COUNTIF($C$1:C38,5),IF(C38=6,COUNTIF($C$1:C38,6),IF(C38=7,COUNTIF($C$1:C38,7),IF(C38=8,COUNTIF($C$1:C38,8),"Не подписано или новый склад"))))))))</f>
        <v>Не подписано или новый склад</v>
      </c>
      <c r="C38" s="45" t="str">
        <f t="shared" ca="1" si="1"/>
        <v>Не подписано</v>
      </c>
      <c r="N38" s="2"/>
      <c r="AC38" s="3"/>
      <c r="AD38" s="3"/>
      <c r="AE38" s="3"/>
      <c r="AF38" s="3"/>
      <c r="AG38" s="3"/>
      <c r="AH38" s="3"/>
      <c r="AI38" s="3"/>
      <c r="AN38" s="3"/>
    </row>
    <row r="39" spans="1:40" x14ac:dyDescent="0.25">
      <c r="A39" s="43" t="str">
        <f t="shared" ca="1" si="2"/>
        <v>Не подписаноНе подписано или новый склад</v>
      </c>
      <c r="B39" s="44" t="str">
        <f ca="1">IF(C39="Б",COUNTIF($C$1:C39,"Б"),IF(C39=2,COUNTIF($C$1:C39,2),IF(C39=3,COUNTIF($C$1:C39,3),IF(C39=4,COUNTIF($C$1:C39,4),IF(C39=5,COUNTIF($C$1:C39,5),IF(C39=6,COUNTIF($C$1:C39,6),IF(C39=7,COUNTIF($C$1:C39,7),IF(C39=8,COUNTIF($C$1:C39,8),"Не подписано или новый склад"))))))))</f>
        <v>Не подписано или новый склад</v>
      </c>
      <c r="C39" s="45" t="str">
        <f t="shared" ca="1" si="1"/>
        <v>Не подписано</v>
      </c>
      <c r="N39" s="2"/>
      <c r="AC39" s="3"/>
      <c r="AD39" s="3"/>
      <c r="AE39" s="3"/>
      <c r="AF39" s="3"/>
      <c r="AG39" s="3"/>
      <c r="AH39" s="3"/>
      <c r="AI39" s="3"/>
    </row>
    <row r="40" spans="1:40" x14ac:dyDescent="0.25">
      <c r="A40" s="43" t="str">
        <f t="shared" ca="1" si="2"/>
        <v>Не подписаноНе подписано или новый склад</v>
      </c>
      <c r="B40" s="44" t="str">
        <f ca="1">IF(C40="Б",COUNTIF($C$1:C40,"Б"),IF(C40=2,COUNTIF($C$1:C40,2),IF(C40=3,COUNTIF($C$1:C40,3),IF(C40=4,COUNTIF($C$1:C40,4),IF(C40=5,COUNTIF($C$1:C40,5),IF(C40=6,COUNTIF($C$1:C40,6),IF(C40=7,COUNTIF($C$1:C40,7),IF(C40=8,COUNTIF($C$1:C40,8),"Не подписано или новый склад"))))))))</f>
        <v>Не подписано или новый склад</v>
      </c>
      <c r="C40" s="45" t="str">
        <f t="shared" ca="1" si="1"/>
        <v>Не подписано</v>
      </c>
      <c r="N40" s="2"/>
      <c r="AC40" s="3"/>
      <c r="AD40" s="3"/>
      <c r="AE40" s="3"/>
      <c r="AF40" s="3"/>
      <c r="AG40" s="3"/>
      <c r="AH40" s="3"/>
      <c r="AI40" s="3"/>
    </row>
    <row r="41" spans="1:40" x14ac:dyDescent="0.25">
      <c r="A41" s="43" t="str">
        <f t="shared" ca="1" si="2"/>
        <v>Не подписаноНе подписано или новый склад</v>
      </c>
      <c r="B41" s="44" t="str">
        <f ca="1">IF(C41="Б",COUNTIF($C$1:C41,"Б"),IF(C41=2,COUNTIF($C$1:C41,2),IF(C41=3,COUNTIF($C$1:C41,3),IF(C41=4,COUNTIF($C$1:C41,4),IF(C41=5,COUNTIF($C$1:C41,5),IF(C41=6,COUNTIF($C$1:C41,6),IF(C41=7,COUNTIF($C$1:C41,7),IF(C41=8,COUNTIF($C$1:C41,8),"Не подписано или новый склад"))))))))</f>
        <v>Не подписано или новый склад</v>
      </c>
      <c r="C41" s="45" t="str">
        <f t="shared" ca="1" si="1"/>
        <v>Не подписано</v>
      </c>
      <c r="N41" s="2"/>
      <c r="AC41" s="3"/>
      <c r="AD41" s="3"/>
      <c r="AE41" s="3"/>
      <c r="AF41" s="3"/>
      <c r="AG41" s="3"/>
      <c r="AH41" s="3"/>
      <c r="AI41" s="3"/>
      <c r="AN41" s="3"/>
    </row>
    <row r="42" spans="1:40" x14ac:dyDescent="0.25">
      <c r="A42" s="43" t="str">
        <f t="shared" ca="1" si="2"/>
        <v>Не подписаноНе подписано или новый склад</v>
      </c>
      <c r="B42" s="44" t="str">
        <f ca="1">IF(C42="Б",COUNTIF($C$1:C42,"Б"),IF(C42=2,COUNTIF($C$1:C42,2),IF(C42=3,COUNTIF($C$1:C42,3),IF(C42=4,COUNTIF($C$1:C42,4),IF(C42=5,COUNTIF($C$1:C42,5),IF(C42=6,COUNTIF($C$1:C42,6),IF(C42=7,COUNTIF($C$1:C42,7),IF(C42=8,COUNTIF($C$1:C42,8),"Не подписано или новый склад"))))))))</f>
        <v>Не подписано или новый склад</v>
      </c>
      <c r="C42" s="45" t="str">
        <f t="shared" ca="1" si="1"/>
        <v>Не подписано</v>
      </c>
      <c r="N42" s="2"/>
      <c r="AC42" s="3"/>
      <c r="AD42" s="3"/>
      <c r="AE42" s="3"/>
      <c r="AF42" s="3"/>
      <c r="AG42" s="3"/>
      <c r="AH42" s="3"/>
      <c r="AI42" s="3"/>
      <c r="AN42" s="3"/>
    </row>
    <row r="43" spans="1:40" x14ac:dyDescent="0.25">
      <c r="A43" s="43" t="str">
        <f t="shared" ca="1" si="2"/>
        <v>Не подписаноНе подписано или новый склад</v>
      </c>
      <c r="B43" s="44" t="str">
        <f ca="1">IF(C43="Б",COUNTIF($C$1:C43,"Б"),IF(C43=2,COUNTIF($C$1:C43,2),IF(C43=3,COUNTIF($C$1:C43,3),IF(C43=4,COUNTIF($C$1:C43,4),IF(C43=5,COUNTIF($C$1:C43,5),IF(C43=6,COUNTIF($C$1:C43,6),IF(C43=7,COUNTIF($C$1:C43,7),IF(C43=8,COUNTIF($C$1:C43,8),"Не подписано или новый склад"))))))))</f>
        <v>Не подписано или новый склад</v>
      </c>
      <c r="C43" s="45" t="str">
        <f t="shared" ca="1" si="1"/>
        <v>Не подписано</v>
      </c>
      <c r="N43" s="2"/>
      <c r="AC43" s="3"/>
      <c r="AD43" s="3"/>
      <c r="AE43" s="3"/>
      <c r="AF43" s="3"/>
      <c r="AG43" s="3"/>
      <c r="AH43" s="3"/>
      <c r="AI43" s="3"/>
      <c r="AN43" s="3"/>
    </row>
    <row r="44" spans="1:40" x14ac:dyDescent="0.25">
      <c r="A44" s="43" t="str">
        <f t="shared" ca="1" si="2"/>
        <v>Не подписаноНе подписано или новый склад</v>
      </c>
      <c r="B44" s="44" t="str">
        <f ca="1">IF(C44="Б",COUNTIF($C$1:C44,"Б"),IF(C44=2,COUNTIF($C$1:C44,2),IF(C44=3,COUNTIF($C$1:C44,3),IF(C44=4,COUNTIF($C$1:C44,4),IF(C44=5,COUNTIF($C$1:C44,5),IF(C44=6,COUNTIF($C$1:C44,6),IF(C44=7,COUNTIF($C$1:C44,7),IF(C44=8,COUNTIF($C$1:C44,8),"Не подписано или новый склад"))))))))</f>
        <v>Не подписано или новый склад</v>
      </c>
      <c r="C44" s="45" t="str">
        <f t="shared" ca="1" si="1"/>
        <v>Не подписано</v>
      </c>
      <c r="N44" s="2"/>
      <c r="AC44" s="3"/>
      <c r="AD44" s="3"/>
      <c r="AE44" s="3"/>
      <c r="AF44" s="3"/>
      <c r="AG44" s="3"/>
      <c r="AH44" s="3"/>
      <c r="AI44" s="3"/>
    </row>
    <row r="45" spans="1:40" x14ac:dyDescent="0.25">
      <c r="A45" s="43" t="str">
        <f t="shared" ca="1" si="2"/>
        <v>Не подписаноНе подписано или новый склад</v>
      </c>
      <c r="B45" s="44" t="str">
        <f ca="1">IF(C45="Б",COUNTIF($C$1:C45,"Б"),IF(C45=2,COUNTIF($C$1:C45,2),IF(C45=3,COUNTIF($C$1:C45,3),IF(C45=4,COUNTIF($C$1:C45,4),IF(C45=5,COUNTIF($C$1:C45,5),IF(C45=6,COUNTIF($C$1:C45,6),IF(C45=7,COUNTIF($C$1:C45,7),IF(C45=8,COUNTIF($C$1:C45,8),"Не подписано или новый склад"))))))))</f>
        <v>Не подписано или новый склад</v>
      </c>
      <c r="C45" s="45" t="str">
        <f t="shared" ca="1" si="1"/>
        <v>Не подписано</v>
      </c>
      <c r="N45" s="2"/>
      <c r="AC45" s="3"/>
      <c r="AD45" s="3"/>
      <c r="AE45" s="3"/>
      <c r="AF45" s="3"/>
      <c r="AG45" s="3"/>
      <c r="AH45" s="3"/>
      <c r="AI45" s="3"/>
    </row>
    <row r="46" spans="1:40" x14ac:dyDescent="0.25">
      <c r="A46" s="43" t="str">
        <f t="shared" ca="1" si="2"/>
        <v>Не подписаноНе подписано или новый склад</v>
      </c>
      <c r="B46" s="44" t="str">
        <f ca="1">IF(C46="Б",COUNTIF($C$1:C46,"Б"),IF(C46=2,COUNTIF($C$1:C46,2),IF(C46=3,COUNTIF($C$1:C46,3),IF(C46=4,COUNTIF($C$1:C46,4),IF(C46=5,COUNTIF($C$1:C46,5),IF(C46=6,COUNTIF($C$1:C46,6),IF(C46=7,COUNTIF($C$1:C46,7),IF(C46=8,COUNTIF($C$1:C46,8),"Не подписано или новый склад"))))))))</f>
        <v>Не подписано или новый склад</v>
      </c>
      <c r="C46" s="45" t="str">
        <f t="shared" ca="1" si="1"/>
        <v>Не подписано</v>
      </c>
      <c r="N46" s="2"/>
      <c r="AC46" s="3"/>
      <c r="AD46" s="3"/>
      <c r="AE46" s="3"/>
      <c r="AF46" s="3"/>
      <c r="AG46" s="3"/>
      <c r="AH46" s="3"/>
      <c r="AI46" s="3"/>
    </row>
    <row r="47" spans="1:40" x14ac:dyDescent="0.25">
      <c r="A47" s="43" t="str">
        <f t="shared" ca="1" si="2"/>
        <v>Не подписаноНе подписано или новый склад</v>
      </c>
      <c r="B47" s="44" t="str">
        <f ca="1">IF(C47="Б",COUNTIF($C$1:C47,"Б"),IF(C47=2,COUNTIF($C$1:C47,2),IF(C47=3,COUNTIF($C$1:C47,3),IF(C47=4,COUNTIF($C$1:C47,4),IF(C47=5,COUNTIF($C$1:C47,5),IF(C47=6,COUNTIF($C$1:C47,6),IF(C47=7,COUNTIF($C$1:C47,7),IF(C47=8,COUNTIF($C$1:C47,8),"Не подписано или новый склад"))))))))</f>
        <v>Не подписано или новый склад</v>
      </c>
      <c r="C47" s="45" t="str">
        <f t="shared" ca="1" si="1"/>
        <v>Не подписано</v>
      </c>
      <c r="N47" s="2"/>
      <c r="AC47" s="3"/>
      <c r="AD47" s="3"/>
      <c r="AE47" s="3"/>
      <c r="AF47" s="3"/>
      <c r="AG47" s="3"/>
      <c r="AH47" s="3"/>
      <c r="AI47" s="3"/>
      <c r="AN47" s="3"/>
    </row>
    <row r="48" spans="1:40" x14ac:dyDescent="0.25">
      <c r="A48" s="43" t="str">
        <f t="shared" ca="1" si="2"/>
        <v>Не подписаноНе подписано или новый склад</v>
      </c>
      <c r="B48" s="44" t="str">
        <f ca="1">IF(C48="Б",COUNTIF($C$1:C48,"Б"),IF(C48=2,COUNTIF($C$1:C48,2),IF(C48=3,COUNTIF($C$1:C48,3),IF(C48=4,COUNTIF($C$1:C48,4),IF(C48=5,COUNTIF($C$1:C48,5),IF(C48=6,COUNTIF($C$1:C48,6),IF(C48=7,COUNTIF($C$1:C48,7),IF(C48=8,COUNTIF($C$1:C48,8),"Не подписано или новый склад"))))))))</f>
        <v>Не подписано или новый склад</v>
      </c>
      <c r="C48" s="45" t="str">
        <f t="shared" ca="1" si="1"/>
        <v>Не подписано</v>
      </c>
      <c r="N48" s="2"/>
      <c r="AC48" s="3"/>
      <c r="AD48" s="3"/>
      <c r="AE48" s="3"/>
      <c r="AF48" s="3"/>
      <c r="AG48" s="3"/>
      <c r="AH48" s="3"/>
      <c r="AI48" s="3"/>
      <c r="AN48" s="3"/>
    </row>
    <row r="49" spans="1:40" x14ac:dyDescent="0.25">
      <c r="A49" s="43" t="str">
        <f t="shared" ca="1" si="2"/>
        <v>Не подписаноНе подписано или новый склад</v>
      </c>
      <c r="B49" s="44" t="str">
        <f ca="1">IF(C49="Б",COUNTIF($C$1:C49,"Б"),IF(C49=2,COUNTIF($C$1:C49,2),IF(C49=3,COUNTIF($C$1:C49,3),IF(C49=4,COUNTIF($C$1:C49,4),IF(C49=5,COUNTIF($C$1:C49,5),IF(C49=6,COUNTIF($C$1:C49,6),IF(C49=7,COUNTIF($C$1:C49,7),IF(C49=8,COUNTIF($C$1:C49,8),"Не подписано или новый склад"))))))))</f>
        <v>Не подписано или новый склад</v>
      </c>
      <c r="C49" s="45" t="str">
        <f t="shared" ca="1" si="1"/>
        <v>Не подписано</v>
      </c>
      <c r="N49" s="2"/>
      <c r="AC49" s="3"/>
      <c r="AD49" s="3"/>
      <c r="AE49" s="3"/>
      <c r="AF49" s="3"/>
      <c r="AG49" s="3"/>
      <c r="AH49" s="3"/>
      <c r="AI49" s="3"/>
    </row>
    <row r="50" spans="1:40" x14ac:dyDescent="0.25">
      <c r="A50" s="43" t="str">
        <f t="shared" ca="1" si="2"/>
        <v>Не подписаноНе подписано или новый склад</v>
      </c>
      <c r="B50" s="44" t="str">
        <f ca="1">IF(C50="Б",COUNTIF($C$1:C50,"Б"),IF(C50=2,COUNTIF($C$1:C50,2),IF(C50=3,COUNTIF($C$1:C50,3),IF(C50=4,COUNTIF($C$1:C50,4),IF(C50=5,COUNTIF($C$1:C50,5),IF(C50=6,COUNTIF($C$1:C50,6),IF(C50=7,COUNTIF($C$1:C50,7),IF(C50=8,COUNTIF($C$1:C50,8),"Не подписано или новый склад"))))))))</f>
        <v>Не подписано или новый склад</v>
      </c>
      <c r="C50" s="45" t="str">
        <f t="shared" ca="1" si="1"/>
        <v>Не подписано</v>
      </c>
      <c r="N50" s="2"/>
      <c r="AC50" s="3"/>
      <c r="AD50" s="3"/>
      <c r="AE50" s="3"/>
      <c r="AF50" s="3"/>
      <c r="AG50" s="3"/>
      <c r="AH50" s="3"/>
      <c r="AI50" s="3"/>
    </row>
    <row r="51" spans="1:40" x14ac:dyDescent="0.25">
      <c r="A51" s="43" t="str">
        <f t="shared" ca="1" si="2"/>
        <v>Не подписаноНе подписано или новый склад</v>
      </c>
      <c r="B51" s="44" t="str">
        <f ca="1">IF(C51="Б",COUNTIF($C$1:C51,"Б"),IF(C51=2,COUNTIF($C$1:C51,2),IF(C51=3,COUNTIF($C$1:C51,3),IF(C51=4,COUNTIF($C$1:C51,4),IF(C51=5,COUNTIF($C$1:C51,5),IF(C51=6,COUNTIF($C$1:C51,6),IF(C51=7,COUNTIF($C$1:C51,7),IF(C51=8,COUNTIF($C$1:C51,8),"Не подписано или новый склад"))))))))</f>
        <v>Не подписано или новый склад</v>
      </c>
      <c r="C51" s="45" t="str">
        <f t="shared" ca="1" si="1"/>
        <v>Не подписано</v>
      </c>
      <c r="N51" s="2"/>
      <c r="AC51" s="3"/>
      <c r="AD51" s="3"/>
      <c r="AE51" s="3"/>
      <c r="AF51" s="3"/>
      <c r="AG51" s="3"/>
      <c r="AH51" s="3"/>
      <c r="AI51" s="3"/>
      <c r="AN51" s="3"/>
    </row>
    <row r="52" spans="1:40" x14ac:dyDescent="0.25">
      <c r="A52" s="43" t="str">
        <f t="shared" ca="1" si="2"/>
        <v>Не подписаноНе подписано или новый склад</v>
      </c>
      <c r="B52" s="44" t="str">
        <f ca="1">IF(C52="Б",COUNTIF($C$1:C52,"Б"),IF(C52=2,COUNTIF($C$1:C52,2),IF(C52=3,COUNTIF($C$1:C52,3),IF(C52=4,COUNTIF($C$1:C52,4),IF(C52=5,COUNTIF($C$1:C52,5),IF(C52=6,COUNTIF($C$1:C52,6),IF(C52=7,COUNTIF($C$1:C52,7),IF(C52=8,COUNTIF($C$1:C52,8),"Не подписано или новый склад"))))))))</f>
        <v>Не подписано или новый склад</v>
      </c>
      <c r="C52" s="45" t="str">
        <f t="shared" ca="1" si="1"/>
        <v>Не подписано</v>
      </c>
      <c r="N52" s="2"/>
      <c r="AC52" s="3"/>
      <c r="AD52" s="3"/>
      <c r="AE52" s="3"/>
      <c r="AF52" s="3"/>
      <c r="AG52" s="3"/>
      <c r="AH52" s="3"/>
      <c r="AI52" s="3"/>
    </row>
    <row r="53" spans="1:40" x14ac:dyDescent="0.25">
      <c r="A53" s="43" t="str">
        <f t="shared" ca="1" si="2"/>
        <v>Не подписаноНе подписано или новый склад</v>
      </c>
      <c r="B53" s="44" t="str">
        <f ca="1">IF(C53="Б",COUNTIF($C$1:C53,"Б"),IF(C53=2,COUNTIF($C$1:C53,2),IF(C53=3,COUNTIF($C$1:C53,3),IF(C53=4,COUNTIF($C$1:C53,4),IF(C53=5,COUNTIF($C$1:C53,5),IF(C53=6,COUNTIF($C$1:C53,6),IF(C53=7,COUNTIF($C$1:C53,7),IF(C53=8,COUNTIF($C$1:C53,8),"Не подписано или новый склад"))))))))</f>
        <v>Не подписано или новый склад</v>
      </c>
      <c r="C53" s="45" t="str">
        <f t="shared" ca="1" si="1"/>
        <v>Не подписано</v>
      </c>
      <c r="N53" s="2"/>
      <c r="AC53" s="3"/>
      <c r="AD53" s="3"/>
      <c r="AE53" s="3"/>
      <c r="AF53" s="3"/>
      <c r="AG53" s="3"/>
      <c r="AH53" s="3"/>
      <c r="AI53" s="3"/>
    </row>
    <row r="54" spans="1:40" x14ac:dyDescent="0.25">
      <c r="A54" s="43" t="str">
        <f t="shared" ca="1" si="2"/>
        <v>Не подписаноНе подписано или новый склад</v>
      </c>
      <c r="B54" s="44" t="str">
        <f ca="1">IF(C54="Б",COUNTIF($C$1:C54,"Б"),IF(C54=2,COUNTIF($C$1:C54,2),IF(C54=3,COUNTIF($C$1:C54,3),IF(C54=4,COUNTIF($C$1:C54,4),IF(C54=5,COUNTIF($C$1:C54,5),IF(C54=6,COUNTIF($C$1:C54,6),IF(C54=7,COUNTIF($C$1:C54,7),IF(C54=8,COUNTIF($C$1:C54,8),"Не подписано или новый склад"))))))))</f>
        <v>Не подписано или новый склад</v>
      </c>
      <c r="C54" s="45" t="str">
        <f t="shared" ca="1" si="1"/>
        <v>Не подписано</v>
      </c>
      <c r="N54" s="2"/>
      <c r="AC54" s="3"/>
      <c r="AD54" s="3"/>
      <c r="AE54" s="3"/>
      <c r="AF54" s="3"/>
      <c r="AG54" s="3"/>
      <c r="AH54" s="3"/>
      <c r="AI54" s="3"/>
      <c r="AN54" s="3"/>
    </row>
    <row r="55" spans="1:40" x14ac:dyDescent="0.25">
      <c r="A55" s="43" t="str">
        <f t="shared" ca="1" si="2"/>
        <v>Не подписаноНе подписано или новый склад</v>
      </c>
      <c r="B55" s="44" t="str">
        <f ca="1">IF(C55="Б",COUNTIF($C$1:C55,"Б"),IF(C55=2,COUNTIF($C$1:C55,2),IF(C55=3,COUNTIF($C$1:C55,3),IF(C55=4,COUNTIF($C$1:C55,4),IF(C55=5,COUNTIF($C$1:C55,5),IF(C55=6,COUNTIF($C$1:C55,6),IF(C55=7,COUNTIF($C$1:C55,7),IF(C55=8,COUNTIF($C$1:C55,8),"Не подписано или новый склад"))))))))</f>
        <v>Не подписано или новый склад</v>
      </c>
      <c r="C55" s="45" t="str">
        <f t="shared" ca="1" si="1"/>
        <v>Не подписано</v>
      </c>
      <c r="N55" s="2"/>
      <c r="AC55" s="3"/>
      <c r="AD55" s="3"/>
      <c r="AE55" s="3"/>
      <c r="AF55" s="3"/>
      <c r="AG55" s="3"/>
      <c r="AH55" s="3"/>
      <c r="AI55" s="3"/>
      <c r="AN55" s="3"/>
    </row>
    <row r="56" spans="1:40" x14ac:dyDescent="0.25">
      <c r="A56" s="43" t="str">
        <f t="shared" ca="1" si="2"/>
        <v>Не подписаноНе подписано или новый склад</v>
      </c>
      <c r="B56" s="44" t="str">
        <f ca="1">IF(C56="Б",COUNTIF($C$1:C56,"Б"),IF(C56=2,COUNTIF($C$1:C56,2),IF(C56=3,COUNTIF($C$1:C56,3),IF(C56=4,COUNTIF($C$1:C56,4),IF(C56=5,COUNTIF($C$1:C56,5),IF(C56=6,COUNTIF($C$1:C56,6),IF(C56=7,COUNTIF($C$1:C56,7),IF(C56=8,COUNTIF($C$1:C56,8),"Не подписано или новый склад"))))))))</f>
        <v>Не подписано или новый склад</v>
      </c>
      <c r="C56" s="45" t="str">
        <f t="shared" ca="1" si="1"/>
        <v>Не подписано</v>
      </c>
      <c r="N56" s="2"/>
      <c r="AC56" s="3"/>
      <c r="AD56" s="3"/>
      <c r="AE56" s="3"/>
      <c r="AF56" s="3"/>
      <c r="AG56" s="3"/>
      <c r="AH56" s="3"/>
      <c r="AI56" s="3"/>
      <c r="AN56" s="3"/>
    </row>
    <row r="57" spans="1:40" x14ac:dyDescent="0.25">
      <c r="A57" s="43" t="str">
        <f t="shared" ca="1" si="2"/>
        <v>Не подписаноНе подписано или новый склад</v>
      </c>
      <c r="B57" s="44" t="str">
        <f ca="1">IF(C57="Б",COUNTIF($C$1:C57,"Б"),IF(C57=2,COUNTIF($C$1:C57,2),IF(C57=3,COUNTIF($C$1:C57,3),IF(C57=4,COUNTIF($C$1:C57,4),IF(C57=5,COUNTIF($C$1:C57,5),IF(C57=6,COUNTIF($C$1:C57,6),IF(C57=7,COUNTIF($C$1:C57,7),IF(C57=8,COUNTIF($C$1:C57,8),"Не подписано или новый склад"))))))))</f>
        <v>Не подписано или новый склад</v>
      </c>
      <c r="C57" s="45" t="str">
        <f t="shared" ca="1" si="1"/>
        <v>Не подписано</v>
      </c>
      <c r="N57" s="2"/>
      <c r="AC57" s="3"/>
      <c r="AD57" s="3"/>
      <c r="AE57" s="3"/>
      <c r="AF57" s="3"/>
      <c r="AG57" s="3"/>
      <c r="AH57" s="3"/>
      <c r="AI57" s="3"/>
    </row>
    <row r="58" spans="1:40" x14ac:dyDescent="0.25">
      <c r="A58" s="43" t="str">
        <f t="shared" ca="1" si="2"/>
        <v>Не подписаноНе подписано или новый склад</v>
      </c>
      <c r="B58" s="44" t="str">
        <f ca="1">IF(C58="Б",COUNTIF($C$1:C58,"Б"),IF(C58=2,COUNTIF($C$1:C58,2),IF(C58=3,COUNTIF($C$1:C58,3),IF(C58=4,COUNTIF($C$1:C58,4),IF(C58=5,COUNTIF($C$1:C58,5),IF(C58=6,COUNTIF($C$1:C58,6),IF(C58=7,COUNTIF($C$1:C58,7),IF(C58=8,COUNTIF($C$1:C58,8),"Не подписано или новый склад"))))))))</f>
        <v>Не подписано или новый склад</v>
      </c>
      <c r="C58" s="45" t="str">
        <f t="shared" ca="1" si="1"/>
        <v>Не подписано</v>
      </c>
    </row>
    <row r="59" spans="1:40" x14ac:dyDescent="0.25">
      <c r="A59" s="43" t="str">
        <f t="shared" ca="1" si="2"/>
        <v>Не подписаноНе подписано или новый склад</v>
      </c>
      <c r="B59" s="44" t="str">
        <f ca="1">IF(C59="Б",COUNTIF($C$1:C59,"Б"),IF(C59=2,COUNTIF($C$1:C59,2),IF(C59=3,COUNTIF($C$1:C59,3),IF(C59=4,COUNTIF($C$1:C59,4),IF(C59=5,COUNTIF($C$1:C59,5),IF(C59=6,COUNTIF($C$1:C59,6),IF(C59=7,COUNTIF($C$1:C59,7),IF(C59=8,COUNTIF($C$1:C59,8),"Не подписано или новый склад"))))))))</f>
        <v>Не подписано или новый склад</v>
      </c>
      <c r="C59" s="45" t="str">
        <f t="shared" ca="1" si="1"/>
        <v>Не подписано</v>
      </c>
    </row>
    <row r="60" spans="1:40" x14ac:dyDescent="0.25">
      <c r="A60" s="43" t="str">
        <f t="shared" ca="1" si="2"/>
        <v>Не подписаноНе подписано или новый склад</v>
      </c>
      <c r="B60" s="44" t="str">
        <f ca="1">IF(C60="Б",COUNTIF($C$1:C60,"Б"),IF(C60=2,COUNTIF($C$1:C60,2),IF(C60=3,COUNTIF($C$1:C60,3),IF(C60=4,COUNTIF($C$1:C60,4),IF(C60=5,COUNTIF($C$1:C60,5),IF(C60=6,COUNTIF($C$1:C60,6),IF(C60=7,COUNTIF($C$1:C60,7),IF(C60=8,COUNTIF($C$1:C60,8),"Не подписано или новый склад"))))))))</f>
        <v>Не подписано или новый склад</v>
      </c>
      <c r="C60" s="45" t="str">
        <f t="shared" ca="1" si="1"/>
        <v>Не подписано</v>
      </c>
    </row>
    <row r="61" spans="1:40" x14ac:dyDescent="0.25">
      <c r="A61" s="43" t="str">
        <f t="shared" ca="1" si="2"/>
        <v>Не подписаноНе подписано или новый склад</v>
      </c>
      <c r="B61" s="44" t="str">
        <f ca="1">IF(C61="Б",COUNTIF($C$1:C61,"Б"),IF(C61=2,COUNTIF($C$1:C61,2),IF(C61=3,COUNTIF($C$1:C61,3),IF(C61=4,COUNTIF($C$1:C61,4),IF(C61=5,COUNTIF($C$1:C61,5),IF(C61=6,COUNTIF($C$1:C61,6),IF(C61=7,COUNTIF($C$1:C61,7),IF(C61=8,COUNTIF($C$1:C61,8),"Не подписано или новый склад"))))))))</f>
        <v>Не подписано или новый склад</v>
      </c>
      <c r="C61" s="45" t="str">
        <f t="shared" ca="1" si="1"/>
        <v>Не подписано</v>
      </c>
    </row>
    <row r="62" spans="1:40" x14ac:dyDescent="0.25">
      <c r="A62" s="43" t="str">
        <f t="shared" ca="1" si="2"/>
        <v>Не подписаноНе подписано или новый склад</v>
      </c>
      <c r="B62" s="44" t="str">
        <f ca="1">IF(C62="Б",COUNTIF($C$1:C62,"Б"),IF(C62=2,COUNTIF($C$1:C62,2),IF(C62=3,COUNTIF($C$1:C62,3),IF(C62=4,COUNTIF($C$1:C62,4),IF(C62=5,COUNTIF($C$1:C62,5),IF(C62=6,COUNTIF($C$1:C62,6),IF(C62=7,COUNTIF($C$1:C62,7),IF(C62=8,COUNTIF($C$1:C62,8),"Не подписано или новый склад"))))))))</f>
        <v>Не подписано или новый склад</v>
      </c>
      <c r="C62" s="45" t="str">
        <f t="shared" ca="1" si="1"/>
        <v>Не подписано</v>
      </c>
    </row>
    <row r="63" spans="1:40" x14ac:dyDescent="0.25">
      <c r="A63" s="43" t="str">
        <f t="shared" ca="1" si="2"/>
        <v>Не подписаноНе подписано или новый склад</v>
      </c>
      <c r="B63" s="44" t="str">
        <f ca="1">IF(C63="Б",COUNTIF($C$1:C63,"Б"),IF(C63=2,COUNTIF($C$1:C63,2),IF(C63=3,COUNTIF($C$1:C63,3),IF(C63=4,COUNTIF($C$1:C63,4),IF(C63=5,COUNTIF($C$1:C63,5),IF(C63=6,COUNTIF($C$1:C63,6),IF(C63=7,COUNTIF($C$1:C63,7),IF(C63=8,COUNTIF($C$1:C63,8),"Не подписано или новый склад"))))))))</f>
        <v>Не подписано или новый склад</v>
      </c>
      <c r="C63" s="45" t="str">
        <f t="shared" ca="1" si="1"/>
        <v>Не подписано</v>
      </c>
    </row>
    <row r="64" spans="1:40" x14ac:dyDescent="0.25">
      <c r="A64" s="43" t="str">
        <f t="shared" ca="1" si="2"/>
        <v>Не подписаноНе подписано или новый склад</v>
      </c>
      <c r="B64" s="44" t="str">
        <f ca="1">IF(C64="Б",COUNTIF($C$1:C64,"Б"),IF(C64=2,COUNTIF($C$1:C64,2),IF(C64=3,COUNTIF($C$1:C64,3),IF(C64=4,COUNTIF($C$1:C64,4),IF(C64=5,COUNTIF($C$1:C64,5),IF(C64=6,COUNTIF($C$1:C64,6),IF(C64=7,COUNTIF($C$1:C64,7),IF(C64=8,COUNTIF($C$1:C64,8),"Не подписано или новый склад"))))))))</f>
        <v>Не подписано или новый склад</v>
      </c>
      <c r="C64" s="45" t="str">
        <f t="shared" ca="1" si="1"/>
        <v>Не подписано</v>
      </c>
    </row>
    <row r="65" spans="1:3" x14ac:dyDescent="0.25">
      <c r="A65" s="43" t="str">
        <f t="shared" ca="1" si="2"/>
        <v>Не подписаноНе подписано или новый склад</v>
      </c>
      <c r="B65" s="44" t="str">
        <f ca="1">IF(C65="Б",COUNTIF($C$1:C65,"Б"),IF(C65=2,COUNTIF($C$1:C65,2),IF(C65=3,COUNTIF($C$1:C65,3),IF(C65=4,COUNTIF($C$1:C65,4),IF(C65=5,COUNTIF($C$1:C65,5),IF(C65=6,COUNTIF($C$1:C65,6),IF(C65=7,COUNTIF($C$1:C65,7),IF(C65=8,COUNTIF($C$1:C65,8),"Не подписано или новый склад"))))))))</f>
        <v>Не подписано или новый склад</v>
      </c>
      <c r="C65" s="45" t="str">
        <f t="shared" ca="1" si="1"/>
        <v>Не подписано</v>
      </c>
    </row>
    <row r="66" spans="1:3" x14ac:dyDescent="0.25">
      <c r="A66" s="43" t="str">
        <f t="shared" ca="1" si="2"/>
        <v>Не подписаноНе подписано или новый склад</v>
      </c>
      <c r="B66" s="44" t="str">
        <f ca="1">IF(C66="Б",COUNTIF($C$1:C66,"Б"),IF(C66=2,COUNTIF($C$1:C66,2),IF(C66=3,COUNTIF($C$1:C66,3),IF(C66=4,COUNTIF($C$1:C66,4),IF(C66=5,COUNTIF($C$1:C66,5),IF(C66=6,COUNTIF($C$1:C66,6),IF(C66=7,COUNTIF($C$1:C66,7),IF(C66=8,COUNTIF($C$1:C66,8),"Не подписано или новый склад"))))))))</f>
        <v>Не подписано или новый склад</v>
      </c>
      <c r="C66" s="45" t="str">
        <f t="shared" ref="C66:C100" ca="1" si="3">IF(AND(T66&lt;&gt;0,LEFT(J66,3)&lt;&gt;"TCH",OR(O66&gt;TODAY(),AND(WEEKDAY(O66,2)=WEEKDAY(TODAY(),2),WEEKDAY(TODAY(),2)=1,NOW()&lt;TODAY()+0.7)),OR(U66&lt;&gt;"МАРКЕТИНГ",AND(U66="МАРКЕТИНГ",O66&gt;TODAY()+1),AND(U66="МАРКЕТИНГ",O66=TODAY()+1,WEEKDAY(O66,2)=WEEKDAY(TODAY(),2)+1,WEEKDAY(TODAY(),2)+1=2,NOW()&lt;TODAY()+0.7))),IFERROR(VALUE(RIGHT(M66,1)),RIGHT(M66,1)),"Не подписано")</f>
        <v>Не подписано</v>
      </c>
    </row>
    <row r="67" spans="1:3" x14ac:dyDescent="0.25">
      <c r="A67" s="43" t="str">
        <f t="shared" ref="A67:A100" ca="1" si="4">IFERROR(VALUE(C67&amp;B67),C67&amp;B67)</f>
        <v>Не подписаноНе подписано или новый склад</v>
      </c>
      <c r="B67" s="44" t="str">
        <f ca="1">IF(C67="Б",COUNTIF($C$1:C67,"Б"),IF(C67=2,COUNTIF($C$1:C67,2),IF(C67=3,COUNTIF($C$1:C67,3),IF(C67=4,COUNTIF($C$1:C67,4),IF(C67=5,COUNTIF($C$1:C67,5),IF(C67=6,COUNTIF($C$1:C67,6),IF(C67=7,COUNTIF($C$1:C67,7),IF(C67=8,COUNTIF($C$1:C67,8),"Не подписано или новый склад"))))))))</f>
        <v>Не подписано или новый склад</v>
      </c>
      <c r="C67" s="45" t="str">
        <f t="shared" ca="1" si="3"/>
        <v>Не подписано</v>
      </c>
    </row>
    <row r="68" spans="1:3" x14ac:dyDescent="0.25">
      <c r="A68" s="43" t="str">
        <f t="shared" ca="1" si="4"/>
        <v>Не подписаноНе подписано или новый склад</v>
      </c>
      <c r="B68" s="44" t="str">
        <f ca="1">IF(C68="Б",COUNTIF($C$1:C68,"Б"),IF(C68=2,COUNTIF($C$1:C68,2),IF(C68=3,COUNTIF($C$1:C68,3),IF(C68=4,COUNTIF($C$1:C68,4),IF(C68=5,COUNTIF($C$1:C68,5),IF(C68=6,COUNTIF($C$1:C68,6),IF(C68=7,COUNTIF($C$1:C68,7),IF(C68=8,COUNTIF($C$1:C68,8),"Не подписано или новый склад"))))))))</f>
        <v>Не подписано или новый склад</v>
      </c>
      <c r="C68" s="45" t="str">
        <f t="shared" ca="1" si="3"/>
        <v>Не подписано</v>
      </c>
    </row>
    <row r="69" spans="1:3" x14ac:dyDescent="0.25">
      <c r="A69" s="43" t="str">
        <f t="shared" ca="1" si="4"/>
        <v>Не подписаноНе подписано или новый склад</v>
      </c>
      <c r="B69" s="44" t="str">
        <f ca="1">IF(C69="Б",COUNTIF($C$1:C69,"Б"),IF(C69=2,COUNTIF($C$1:C69,2),IF(C69=3,COUNTIF($C$1:C69,3),IF(C69=4,COUNTIF($C$1:C69,4),IF(C69=5,COUNTIF($C$1:C69,5),IF(C69=6,COUNTIF($C$1:C69,6),IF(C69=7,COUNTIF($C$1:C69,7),IF(C69=8,COUNTIF($C$1:C69,8),"Не подписано или новый склад"))))))))</f>
        <v>Не подписано или новый склад</v>
      </c>
      <c r="C69" s="45" t="str">
        <f t="shared" ca="1" si="3"/>
        <v>Не подписано</v>
      </c>
    </row>
    <row r="70" spans="1:3" x14ac:dyDescent="0.25">
      <c r="A70" s="43" t="str">
        <f t="shared" ca="1" si="4"/>
        <v>Не подписаноНе подписано или новый склад</v>
      </c>
      <c r="B70" s="44" t="str">
        <f ca="1">IF(C70="Б",COUNTIF($C$1:C70,"Б"),IF(C70=2,COUNTIF($C$1:C70,2),IF(C70=3,COUNTIF($C$1:C70,3),IF(C70=4,COUNTIF($C$1:C70,4),IF(C70=5,COUNTIF($C$1:C70,5),IF(C70=6,COUNTIF($C$1:C70,6),IF(C70=7,COUNTIF($C$1:C70,7),IF(C70=8,COUNTIF($C$1:C70,8),"Не подписано или новый склад"))))))))</f>
        <v>Не подписано или новый склад</v>
      </c>
      <c r="C70" s="45" t="str">
        <f t="shared" ca="1" si="3"/>
        <v>Не подписано</v>
      </c>
    </row>
    <row r="71" spans="1:3" x14ac:dyDescent="0.25">
      <c r="A71" s="43" t="str">
        <f t="shared" ca="1" si="4"/>
        <v>Не подписаноНе подписано или новый склад</v>
      </c>
      <c r="B71" s="44" t="str">
        <f ca="1">IF(C71="Б",COUNTIF($C$1:C71,"Б"),IF(C71=2,COUNTIF($C$1:C71,2),IF(C71=3,COUNTIF($C$1:C71,3),IF(C71=4,COUNTIF($C$1:C71,4),IF(C71=5,COUNTIF($C$1:C71,5),IF(C71=6,COUNTIF($C$1:C71,6),IF(C71=7,COUNTIF($C$1:C71,7),IF(C71=8,COUNTIF($C$1:C71,8),"Не подписано или новый склад"))))))))</f>
        <v>Не подписано или новый склад</v>
      </c>
      <c r="C71" s="45" t="str">
        <f t="shared" ca="1" si="3"/>
        <v>Не подписано</v>
      </c>
    </row>
    <row r="72" spans="1:3" x14ac:dyDescent="0.25">
      <c r="A72" s="43" t="str">
        <f t="shared" ca="1" si="4"/>
        <v>Не подписаноНе подписано или новый склад</v>
      </c>
      <c r="B72" s="44" t="str">
        <f ca="1">IF(C72="Б",COUNTIF($C$1:C72,"Б"),IF(C72=2,COUNTIF($C$1:C72,2),IF(C72=3,COUNTIF($C$1:C72,3),IF(C72=4,COUNTIF($C$1:C72,4),IF(C72=5,COUNTIF($C$1:C72,5),IF(C72=6,COUNTIF($C$1:C72,6),IF(C72=7,COUNTIF($C$1:C72,7),IF(C72=8,COUNTIF($C$1:C72,8),"Не подписано или новый склад"))))))))</f>
        <v>Не подписано или новый склад</v>
      </c>
      <c r="C72" s="45" t="str">
        <f t="shared" ca="1" si="3"/>
        <v>Не подписано</v>
      </c>
    </row>
    <row r="73" spans="1:3" x14ac:dyDescent="0.25">
      <c r="A73" s="43" t="str">
        <f t="shared" ca="1" si="4"/>
        <v>Не подписаноНе подписано или новый склад</v>
      </c>
      <c r="B73" s="44" t="str">
        <f ca="1">IF(C73="Б",COUNTIF($C$1:C73,"Б"),IF(C73=2,COUNTIF($C$1:C73,2),IF(C73=3,COUNTIF($C$1:C73,3),IF(C73=4,COUNTIF($C$1:C73,4),IF(C73=5,COUNTIF($C$1:C73,5),IF(C73=6,COUNTIF($C$1:C73,6),IF(C73=7,COUNTIF($C$1:C73,7),IF(C73=8,COUNTIF($C$1:C73,8),"Не подписано или новый склад"))))))))</f>
        <v>Не подписано или новый склад</v>
      </c>
      <c r="C73" s="45" t="str">
        <f t="shared" ca="1" si="3"/>
        <v>Не подписано</v>
      </c>
    </row>
    <row r="74" spans="1:3" x14ac:dyDescent="0.25">
      <c r="A74" s="43" t="str">
        <f t="shared" ca="1" si="4"/>
        <v>Не подписаноНе подписано или новый склад</v>
      </c>
      <c r="B74" s="44" t="str">
        <f ca="1">IF(C74="Б",COUNTIF($C$1:C74,"Б"),IF(C74=2,COUNTIF($C$1:C74,2),IF(C74=3,COUNTIF($C$1:C74,3),IF(C74=4,COUNTIF($C$1:C74,4),IF(C74=5,COUNTIF($C$1:C74,5),IF(C74=6,COUNTIF($C$1:C74,6),IF(C74=7,COUNTIF($C$1:C74,7),IF(C74=8,COUNTIF($C$1:C74,8),"Не подписано или новый склад"))))))))</f>
        <v>Не подписано или новый склад</v>
      </c>
      <c r="C74" s="45" t="str">
        <f t="shared" ca="1" si="3"/>
        <v>Не подписано</v>
      </c>
    </row>
    <row r="75" spans="1:3" x14ac:dyDescent="0.25">
      <c r="A75" s="43" t="str">
        <f t="shared" ca="1" si="4"/>
        <v>Не подписаноНе подписано или новый склад</v>
      </c>
      <c r="B75" s="44" t="str">
        <f ca="1">IF(C75="Б",COUNTIF($C$1:C75,"Б"),IF(C75=2,COUNTIF($C$1:C75,2),IF(C75=3,COUNTIF($C$1:C75,3),IF(C75=4,COUNTIF($C$1:C75,4),IF(C75=5,COUNTIF($C$1:C75,5),IF(C75=6,COUNTIF($C$1:C75,6),IF(C75=7,COUNTIF($C$1:C75,7),IF(C75=8,COUNTIF($C$1:C75,8),"Не подписано или новый склад"))))))))</f>
        <v>Не подписано или новый склад</v>
      </c>
      <c r="C75" s="45" t="str">
        <f t="shared" ca="1" si="3"/>
        <v>Не подписано</v>
      </c>
    </row>
    <row r="76" spans="1:3" x14ac:dyDescent="0.25">
      <c r="A76" s="43" t="str">
        <f t="shared" ca="1" si="4"/>
        <v>Не подписаноНе подписано или новый склад</v>
      </c>
      <c r="B76" s="44" t="str">
        <f ca="1">IF(C76="Б",COUNTIF($C$1:C76,"Б"),IF(C76=2,COUNTIF($C$1:C76,2),IF(C76=3,COUNTIF($C$1:C76,3),IF(C76=4,COUNTIF($C$1:C76,4),IF(C76=5,COUNTIF($C$1:C76,5),IF(C76=6,COUNTIF($C$1:C76,6),IF(C76=7,COUNTIF($C$1:C76,7),IF(C76=8,COUNTIF($C$1:C76,8),"Не подписано или новый склад"))))))))</f>
        <v>Не подписано или новый склад</v>
      </c>
      <c r="C76" s="45" t="str">
        <f t="shared" ca="1" si="3"/>
        <v>Не подписано</v>
      </c>
    </row>
    <row r="77" spans="1:3" x14ac:dyDescent="0.25">
      <c r="A77" s="43" t="str">
        <f t="shared" ca="1" si="4"/>
        <v>Не подписаноНе подписано или новый склад</v>
      </c>
      <c r="B77" s="44" t="str">
        <f ca="1">IF(C77="Б",COUNTIF($C$1:C77,"Б"),IF(C77=2,COUNTIF($C$1:C77,2),IF(C77=3,COUNTIF($C$1:C77,3),IF(C77=4,COUNTIF($C$1:C77,4),IF(C77=5,COUNTIF($C$1:C77,5),IF(C77=6,COUNTIF($C$1:C77,6),IF(C77=7,COUNTIF($C$1:C77,7),IF(C77=8,COUNTIF($C$1:C77,8),"Не подписано или новый склад"))))))))</f>
        <v>Не подписано или новый склад</v>
      </c>
      <c r="C77" s="45" t="str">
        <f t="shared" ca="1" si="3"/>
        <v>Не подписано</v>
      </c>
    </row>
    <row r="78" spans="1:3" x14ac:dyDescent="0.25">
      <c r="A78" s="43" t="str">
        <f t="shared" ca="1" si="4"/>
        <v>Не подписаноНе подписано или новый склад</v>
      </c>
      <c r="B78" s="44" t="str">
        <f ca="1">IF(C78="Б",COUNTIF($C$1:C78,"Б"),IF(C78=2,COUNTIF($C$1:C78,2),IF(C78=3,COUNTIF($C$1:C78,3),IF(C78=4,COUNTIF($C$1:C78,4),IF(C78=5,COUNTIF($C$1:C78,5),IF(C78=6,COUNTIF($C$1:C78,6),IF(C78=7,COUNTIF($C$1:C78,7),IF(C78=8,COUNTIF($C$1:C78,8),"Не подписано или новый склад"))))))))</f>
        <v>Не подписано или новый склад</v>
      </c>
      <c r="C78" s="45" t="str">
        <f t="shared" ca="1" si="3"/>
        <v>Не подписано</v>
      </c>
    </row>
    <row r="79" spans="1:3" x14ac:dyDescent="0.25">
      <c r="A79" s="43" t="str">
        <f t="shared" ca="1" si="4"/>
        <v>Не подписаноНе подписано или новый склад</v>
      </c>
      <c r="B79" s="44" t="str">
        <f ca="1">IF(C79="Б",COUNTIF($C$1:C79,"Б"),IF(C79=2,COUNTIF($C$1:C79,2),IF(C79=3,COUNTIF($C$1:C79,3),IF(C79=4,COUNTIF($C$1:C79,4),IF(C79=5,COUNTIF($C$1:C79,5),IF(C79=6,COUNTIF($C$1:C79,6),IF(C79=7,COUNTIF($C$1:C79,7),IF(C79=8,COUNTIF($C$1:C79,8),"Не подписано или новый склад"))))))))</f>
        <v>Не подписано или новый склад</v>
      </c>
      <c r="C79" s="45" t="str">
        <f t="shared" ca="1" si="3"/>
        <v>Не подписано</v>
      </c>
    </row>
    <row r="80" spans="1:3" x14ac:dyDescent="0.25">
      <c r="A80" s="43" t="str">
        <f t="shared" ca="1" si="4"/>
        <v>Не подписаноНе подписано или новый склад</v>
      </c>
      <c r="B80" s="44" t="str">
        <f ca="1">IF(C80="Б",COUNTIF($C$1:C80,"Б"),IF(C80=2,COUNTIF($C$1:C80,2),IF(C80=3,COUNTIF($C$1:C80,3),IF(C80=4,COUNTIF($C$1:C80,4),IF(C80=5,COUNTIF($C$1:C80,5),IF(C80=6,COUNTIF($C$1:C80,6),IF(C80=7,COUNTIF($C$1:C80,7),IF(C80=8,COUNTIF($C$1:C80,8),"Не подписано или новый склад"))))))))</f>
        <v>Не подписано или новый склад</v>
      </c>
      <c r="C80" s="45" t="str">
        <f t="shared" ca="1" si="3"/>
        <v>Не подписано</v>
      </c>
    </row>
    <row r="81" spans="1:3" x14ac:dyDescent="0.25">
      <c r="A81" s="43" t="str">
        <f t="shared" ca="1" si="4"/>
        <v>Не подписаноНе подписано или новый склад</v>
      </c>
      <c r="B81" s="44" t="str">
        <f ca="1">IF(C81="Б",COUNTIF($C$1:C81,"Б"),IF(C81=2,COUNTIF($C$1:C81,2),IF(C81=3,COUNTIF($C$1:C81,3),IF(C81=4,COUNTIF($C$1:C81,4),IF(C81=5,COUNTIF($C$1:C81,5),IF(C81=6,COUNTIF($C$1:C81,6),IF(C81=7,COUNTIF($C$1:C81,7),IF(C81=8,COUNTIF($C$1:C81,8),"Не подписано или новый склад"))))))))</f>
        <v>Не подписано или новый склад</v>
      </c>
      <c r="C81" s="45" t="str">
        <f t="shared" ca="1" si="3"/>
        <v>Не подписано</v>
      </c>
    </row>
    <row r="82" spans="1:3" x14ac:dyDescent="0.25">
      <c r="A82" s="43" t="str">
        <f t="shared" ca="1" si="4"/>
        <v>Не подписаноНе подписано или новый склад</v>
      </c>
      <c r="B82" s="44" t="str">
        <f ca="1">IF(C82="Б",COUNTIF($C$1:C82,"Б"),IF(C82=2,COUNTIF($C$1:C82,2),IF(C82=3,COUNTIF($C$1:C82,3),IF(C82=4,COUNTIF($C$1:C82,4),IF(C82=5,COUNTIF($C$1:C82,5),IF(C82=6,COUNTIF($C$1:C82,6),IF(C82=7,COUNTIF($C$1:C82,7),IF(C82=8,COUNTIF($C$1:C82,8),"Не подписано или новый склад"))))))))</f>
        <v>Не подписано или новый склад</v>
      </c>
      <c r="C82" s="45" t="str">
        <f t="shared" ca="1" si="3"/>
        <v>Не подписано</v>
      </c>
    </row>
    <row r="83" spans="1:3" x14ac:dyDescent="0.25">
      <c r="A83" s="43" t="str">
        <f t="shared" ca="1" si="4"/>
        <v>Не подписаноНе подписано или новый склад</v>
      </c>
      <c r="B83" s="44" t="str">
        <f ca="1">IF(C83="Б",COUNTIF($C$1:C83,"Б"),IF(C83=2,COUNTIF($C$1:C83,2),IF(C83=3,COUNTIF($C$1:C83,3),IF(C83=4,COUNTIF($C$1:C83,4),IF(C83=5,COUNTIF($C$1:C83,5),IF(C83=6,COUNTIF($C$1:C83,6),IF(C83=7,COUNTIF($C$1:C83,7),IF(C83=8,COUNTIF($C$1:C83,8),"Не подписано или новый склад"))))))))</f>
        <v>Не подписано или новый склад</v>
      </c>
      <c r="C83" s="45" t="str">
        <f t="shared" ca="1" si="3"/>
        <v>Не подписано</v>
      </c>
    </row>
    <row r="84" spans="1:3" x14ac:dyDescent="0.25">
      <c r="A84" s="43" t="str">
        <f t="shared" ca="1" si="4"/>
        <v>Не подписаноНе подписано или новый склад</v>
      </c>
      <c r="B84" s="44" t="str">
        <f ca="1">IF(C84="Б",COUNTIF($C$1:C84,"Б"),IF(C84=2,COUNTIF($C$1:C84,2),IF(C84=3,COUNTIF($C$1:C84,3),IF(C84=4,COUNTIF($C$1:C84,4),IF(C84=5,COUNTIF($C$1:C84,5),IF(C84=6,COUNTIF($C$1:C84,6),IF(C84=7,COUNTIF($C$1:C84,7),IF(C84=8,COUNTIF($C$1:C84,8),"Не подписано или новый склад"))))))))</f>
        <v>Не подписано или новый склад</v>
      </c>
      <c r="C84" s="45" t="str">
        <f t="shared" ca="1" si="3"/>
        <v>Не подписано</v>
      </c>
    </row>
    <row r="85" spans="1:3" x14ac:dyDescent="0.25">
      <c r="A85" s="43" t="str">
        <f t="shared" ca="1" si="4"/>
        <v>Не подписаноНе подписано или новый склад</v>
      </c>
      <c r="B85" s="44" t="str">
        <f ca="1">IF(C85="Б",COUNTIF($C$1:C85,"Б"),IF(C85=2,COUNTIF($C$1:C85,2),IF(C85=3,COUNTIF($C$1:C85,3),IF(C85=4,COUNTIF($C$1:C85,4),IF(C85=5,COUNTIF($C$1:C85,5),IF(C85=6,COUNTIF($C$1:C85,6),IF(C85=7,COUNTIF($C$1:C85,7),IF(C85=8,COUNTIF($C$1:C85,8),"Не подписано или новый склад"))))))))</f>
        <v>Не подписано или новый склад</v>
      </c>
      <c r="C85" s="45" t="str">
        <f t="shared" ca="1" si="3"/>
        <v>Не подписано</v>
      </c>
    </row>
    <row r="86" spans="1:3" x14ac:dyDescent="0.25">
      <c r="A86" s="43" t="str">
        <f t="shared" ca="1" si="4"/>
        <v>Не подписаноНе подписано или новый склад</v>
      </c>
      <c r="B86" s="44" t="str">
        <f ca="1">IF(C86="Б",COUNTIF($C$1:C86,"Б"),IF(C86=2,COUNTIF($C$1:C86,2),IF(C86=3,COUNTIF($C$1:C86,3),IF(C86=4,COUNTIF($C$1:C86,4),IF(C86=5,COUNTIF($C$1:C86,5),IF(C86=6,COUNTIF($C$1:C86,6),IF(C86=7,COUNTIF($C$1:C86,7),IF(C86=8,COUNTIF($C$1:C86,8),"Не подписано или новый склад"))))))))</f>
        <v>Не подписано или новый склад</v>
      </c>
      <c r="C86" s="45" t="str">
        <f t="shared" ca="1" si="3"/>
        <v>Не подписано</v>
      </c>
    </row>
    <row r="87" spans="1:3" x14ac:dyDescent="0.25">
      <c r="A87" s="43" t="str">
        <f t="shared" ca="1" si="4"/>
        <v>Не подписаноНе подписано или новый склад</v>
      </c>
      <c r="B87" s="44" t="str">
        <f ca="1">IF(C87="Б",COUNTIF($C$1:C87,"Б"),IF(C87=2,COUNTIF($C$1:C87,2),IF(C87=3,COUNTIF($C$1:C87,3),IF(C87=4,COUNTIF($C$1:C87,4),IF(C87=5,COUNTIF($C$1:C87,5),IF(C87=6,COUNTIF($C$1:C87,6),IF(C87=7,COUNTIF($C$1:C87,7),IF(C87=8,COUNTIF($C$1:C87,8),"Не подписано или новый склад"))))))))</f>
        <v>Не подписано или новый склад</v>
      </c>
      <c r="C87" s="45" t="str">
        <f t="shared" ca="1" si="3"/>
        <v>Не подписано</v>
      </c>
    </row>
    <row r="88" spans="1:3" x14ac:dyDescent="0.25">
      <c r="A88" s="43" t="str">
        <f t="shared" ca="1" si="4"/>
        <v>Не подписаноНе подписано или новый склад</v>
      </c>
      <c r="B88" s="44" t="str">
        <f ca="1">IF(C88="Б",COUNTIF($C$1:C88,"Б"),IF(C88=2,COUNTIF($C$1:C88,2),IF(C88=3,COUNTIF($C$1:C88,3),IF(C88=4,COUNTIF($C$1:C88,4),IF(C88=5,COUNTIF($C$1:C88,5),IF(C88=6,COUNTIF($C$1:C88,6),IF(C88=7,COUNTIF($C$1:C88,7),IF(C88=8,COUNTIF($C$1:C88,8),"Не подписано или новый склад"))))))))</f>
        <v>Не подписано или новый склад</v>
      </c>
      <c r="C88" s="45" t="str">
        <f t="shared" ca="1" si="3"/>
        <v>Не подписано</v>
      </c>
    </row>
    <row r="89" spans="1:3" x14ac:dyDescent="0.25">
      <c r="A89" s="43" t="str">
        <f t="shared" ca="1" si="4"/>
        <v>Не подписаноНе подписано или новый склад</v>
      </c>
      <c r="B89" s="44" t="str">
        <f ca="1">IF(C89="Б",COUNTIF($C$1:C89,"Б"),IF(C89=2,COUNTIF($C$1:C89,2),IF(C89=3,COUNTIF($C$1:C89,3),IF(C89=4,COUNTIF($C$1:C89,4),IF(C89=5,COUNTIF($C$1:C89,5),IF(C89=6,COUNTIF($C$1:C89,6),IF(C89=7,COUNTIF($C$1:C89,7),IF(C89=8,COUNTIF($C$1:C89,8),"Не подписано или новый склад"))))))))</f>
        <v>Не подписано или новый склад</v>
      </c>
      <c r="C89" s="45" t="str">
        <f t="shared" ca="1" si="3"/>
        <v>Не подписано</v>
      </c>
    </row>
    <row r="90" spans="1:3" x14ac:dyDescent="0.25">
      <c r="A90" s="43" t="str">
        <f t="shared" ca="1" si="4"/>
        <v>Не подписаноНе подписано или новый склад</v>
      </c>
      <c r="B90" s="44" t="str">
        <f ca="1">IF(C90="Б",COUNTIF($C$1:C90,"Б"),IF(C90=2,COUNTIF($C$1:C90,2),IF(C90=3,COUNTIF($C$1:C90,3),IF(C90=4,COUNTIF($C$1:C90,4),IF(C90=5,COUNTIF($C$1:C90,5),IF(C90=6,COUNTIF($C$1:C90,6),IF(C90=7,COUNTIF($C$1:C90,7),IF(C90=8,COUNTIF($C$1:C90,8),"Не подписано или новый склад"))))))))</f>
        <v>Не подписано или новый склад</v>
      </c>
      <c r="C90" s="45" t="str">
        <f t="shared" ca="1" si="3"/>
        <v>Не подписано</v>
      </c>
    </row>
    <row r="91" spans="1:3" x14ac:dyDescent="0.25">
      <c r="A91" s="43" t="str">
        <f t="shared" ca="1" si="4"/>
        <v>Не подписаноНе подписано или новый склад</v>
      </c>
      <c r="B91" s="44" t="str">
        <f ca="1">IF(C91="Б",COUNTIF($C$1:C91,"Б"),IF(C91=2,COUNTIF($C$1:C91,2),IF(C91=3,COUNTIF($C$1:C91,3),IF(C91=4,COUNTIF($C$1:C91,4),IF(C91=5,COUNTIF($C$1:C91,5),IF(C91=6,COUNTIF($C$1:C91,6),IF(C91=7,COUNTIF($C$1:C91,7),IF(C91=8,COUNTIF($C$1:C91,8),"Не подписано или новый склад"))))))))</f>
        <v>Не подписано или новый склад</v>
      </c>
      <c r="C91" s="45" t="str">
        <f t="shared" ca="1" si="3"/>
        <v>Не подписано</v>
      </c>
    </row>
    <row r="92" spans="1:3" x14ac:dyDescent="0.25">
      <c r="A92" s="43" t="str">
        <f t="shared" ca="1" si="4"/>
        <v>Не подписаноНе подписано или новый склад</v>
      </c>
      <c r="B92" s="44" t="str">
        <f ca="1">IF(C92="Б",COUNTIF($C$1:C92,"Б"),IF(C92=2,COUNTIF($C$1:C92,2),IF(C92=3,COUNTIF($C$1:C92,3),IF(C92=4,COUNTIF($C$1:C92,4),IF(C92=5,COUNTIF($C$1:C92,5),IF(C92=6,COUNTIF($C$1:C92,6),IF(C92=7,COUNTIF($C$1:C92,7),IF(C92=8,COUNTIF($C$1:C92,8),"Не подписано или новый склад"))))))))</f>
        <v>Не подписано или новый склад</v>
      </c>
      <c r="C92" s="45" t="str">
        <f t="shared" ca="1" si="3"/>
        <v>Не подписано</v>
      </c>
    </row>
    <row r="93" spans="1:3" x14ac:dyDescent="0.25">
      <c r="A93" s="43" t="str">
        <f t="shared" ca="1" si="4"/>
        <v>Не подписаноНе подписано или новый склад</v>
      </c>
      <c r="B93" s="44" t="str">
        <f ca="1">IF(C93="Б",COUNTIF($C$1:C93,"Б"),IF(C93=2,COUNTIF($C$1:C93,2),IF(C93=3,COUNTIF($C$1:C93,3),IF(C93=4,COUNTIF($C$1:C93,4),IF(C93=5,COUNTIF($C$1:C93,5),IF(C93=6,COUNTIF($C$1:C93,6),IF(C93=7,COUNTIF($C$1:C93,7),IF(C93=8,COUNTIF($C$1:C93,8),"Не подписано или новый склад"))))))))</f>
        <v>Не подписано или новый склад</v>
      </c>
      <c r="C93" s="45" t="str">
        <f t="shared" ca="1" si="3"/>
        <v>Не подписано</v>
      </c>
    </row>
    <row r="94" spans="1:3" x14ac:dyDescent="0.25">
      <c r="A94" s="43" t="str">
        <f t="shared" ca="1" si="4"/>
        <v>Не подписаноНе подписано или новый склад</v>
      </c>
      <c r="B94" s="44" t="str">
        <f ca="1">IF(C94="Б",COUNTIF($C$1:C94,"Б"),IF(C94=2,COUNTIF($C$1:C94,2),IF(C94=3,COUNTIF($C$1:C94,3),IF(C94=4,COUNTIF($C$1:C94,4),IF(C94=5,COUNTIF($C$1:C94,5),IF(C94=6,COUNTIF($C$1:C94,6),IF(C94=7,COUNTIF($C$1:C94,7),IF(C94=8,COUNTIF($C$1:C94,8),"Не подписано или новый склад"))))))))</f>
        <v>Не подписано или новый склад</v>
      </c>
      <c r="C94" s="45" t="str">
        <f t="shared" ca="1" si="3"/>
        <v>Не подписано</v>
      </c>
    </row>
    <row r="95" spans="1:3" x14ac:dyDescent="0.25">
      <c r="A95" s="43" t="str">
        <f t="shared" ca="1" si="4"/>
        <v>Не подписаноНе подписано или новый склад</v>
      </c>
      <c r="B95" s="44" t="str">
        <f ca="1">IF(C95="Б",COUNTIF($C$1:C95,"Б"),IF(C95=2,COUNTIF($C$1:C95,2),IF(C95=3,COUNTIF($C$1:C95,3),IF(C95=4,COUNTIF($C$1:C95,4),IF(C95=5,COUNTIF($C$1:C95,5),IF(C95=6,COUNTIF($C$1:C95,6),IF(C95=7,COUNTIF($C$1:C95,7),IF(C95=8,COUNTIF($C$1:C95,8),"Не подписано или новый склад"))))))))</f>
        <v>Не подписано или новый склад</v>
      </c>
      <c r="C95" s="45" t="str">
        <f t="shared" ca="1" si="3"/>
        <v>Не подписано</v>
      </c>
    </row>
    <row r="96" spans="1:3" x14ac:dyDescent="0.25">
      <c r="A96" s="43" t="str">
        <f t="shared" ca="1" si="4"/>
        <v>Не подписаноНе подписано или новый склад</v>
      </c>
      <c r="B96" s="44" t="str">
        <f ca="1">IF(C96="Б",COUNTIF($C$1:C96,"Б"),IF(C96=2,COUNTIF($C$1:C96,2),IF(C96=3,COUNTIF($C$1:C96,3),IF(C96=4,COUNTIF($C$1:C96,4),IF(C96=5,COUNTIF($C$1:C96,5),IF(C96=6,COUNTIF($C$1:C96,6),IF(C96=7,COUNTIF($C$1:C96,7),IF(C96=8,COUNTIF($C$1:C96,8),"Не подписано или новый склад"))))))))</f>
        <v>Не подписано или новый склад</v>
      </c>
      <c r="C96" s="45" t="str">
        <f t="shared" ca="1" si="3"/>
        <v>Не подписано</v>
      </c>
    </row>
    <row r="97" spans="1:3" x14ac:dyDescent="0.25">
      <c r="A97" s="43" t="str">
        <f t="shared" ca="1" si="4"/>
        <v>Не подписаноНе подписано или новый склад</v>
      </c>
      <c r="B97" s="44" t="str">
        <f ca="1">IF(C97="Б",COUNTIF($C$1:C97,"Б"),IF(C97=2,COUNTIF($C$1:C97,2),IF(C97=3,COUNTIF($C$1:C97,3),IF(C97=4,COUNTIF($C$1:C97,4),IF(C97=5,COUNTIF($C$1:C97,5),IF(C97=6,COUNTIF($C$1:C97,6),IF(C97=7,COUNTIF($C$1:C97,7),IF(C97=8,COUNTIF($C$1:C97,8),"Не подписано или новый склад"))))))))</f>
        <v>Не подписано или новый склад</v>
      </c>
      <c r="C97" s="45" t="str">
        <f t="shared" ca="1" si="3"/>
        <v>Не подписано</v>
      </c>
    </row>
    <row r="98" spans="1:3" x14ac:dyDescent="0.25">
      <c r="A98" s="43" t="str">
        <f t="shared" ca="1" si="4"/>
        <v>Не подписаноНе подписано или новый склад</v>
      </c>
      <c r="B98" s="44" t="str">
        <f ca="1">IF(C98="Б",COUNTIF($C$1:C98,"Б"),IF(C98=2,COUNTIF($C$1:C98,2),IF(C98=3,COUNTIF($C$1:C98,3),IF(C98=4,COUNTIF($C$1:C98,4),IF(C98=5,COUNTIF($C$1:C98,5),IF(C98=6,COUNTIF($C$1:C98,6),IF(C98=7,COUNTIF($C$1:C98,7),IF(C98=8,COUNTIF($C$1:C98,8),"Не подписано или новый склад"))))))))</f>
        <v>Не подписано или новый склад</v>
      </c>
      <c r="C98" s="45" t="str">
        <f t="shared" ca="1" si="3"/>
        <v>Не подписано</v>
      </c>
    </row>
    <row r="99" spans="1:3" x14ac:dyDescent="0.25">
      <c r="A99" s="43" t="str">
        <f t="shared" ca="1" si="4"/>
        <v>Не подписаноНе подписано или новый склад</v>
      </c>
      <c r="B99" s="44" t="str">
        <f ca="1">IF(C99="Б",COUNTIF($C$1:C99,"Б"),IF(C99=2,COUNTIF($C$1:C99,2),IF(C99=3,COUNTIF($C$1:C99,3),IF(C99=4,COUNTIF($C$1:C99,4),IF(C99=5,COUNTIF($C$1:C99,5),IF(C99=6,COUNTIF($C$1:C99,6),IF(C99=7,COUNTIF($C$1:C99,7),IF(C99=8,COUNTIF($C$1:C99,8),"Не подписано или новый склад"))))))))</f>
        <v>Не подписано или новый склад</v>
      </c>
      <c r="C99" s="45" t="str">
        <f t="shared" ca="1" si="3"/>
        <v>Не подписано</v>
      </c>
    </row>
    <row r="100" spans="1:3" ht="15.75" thickBot="1" x14ac:dyDescent="0.3">
      <c r="A100" s="46" t="str">
        <f t="shared" ca="1" si="4"/>
        <v>Не подписаноНе подписано или новый склад</v>
      </c>
      <c r="B100" s="44" t="str">
        <f ca="1">IF(C100="Б",COUNTIF($C$1:C100,"Б"),IF(C100=2,COUNTIF($C$1:C100,2),IF(C100=3,COUNTIF($C$1:C100,3),IF(C100=4,COUNTIF($C$1:C100,4),IF(C100=5,COUNTIF($C$1:C100,5),IF(C100=6,COUNTIF($C$1:C100,6),IF(C100=7,COUNTIF($C$1:C100,7),IF(C100=8,COUNTIF($C$1:C100,8),"Не подписано или новый склад"))))))))</f>
        <v>Не подписано или новый склад</v>
      </c>
      <c r="C100" s="47" t="str">
        <f t="shared" ca="1" si="3"/>
        <v>Не подписано</v>
      </c>
    </row>
  </sheetData>
  <sortState ref="A1:J25">
    <sortCondition ref="F1"/>
  </sortState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10"/>
  <sheetViews>
    <sheetView workbookViewId="0">
      <selection activeCell="E17" sqref="E16:E17"/>
    </sheetView>
  </sheetViews>
  <sheetFormatPr defaultRowHeight="15" x14ac:dyDescent="0.25"/>
  <cols>
    <col min="1" max="1" width="11.5703125" bestFit="1" customWidth="1"/>
    <col min="2" max="2" width="13.7109375" bestFit="1" customWidth="1"/>
    <col min="3" max="3" width="13.85546875" bestFit="1" customWidth="1"/>
  </cols>
  <sheetData>
    <row r="1" spans="1:3" x14ac:dyDescent="0.25">
      <c r="A1" s="1" t="s">
        <v>3</v>
      </c>
      <c r="B1" s="1" t="s">
        <v>98</v>
      </c>
      <c r="C1" s="1" t="s">
        <v>99</v>
      </c>
    </row>
    <row r="2" spans="1:3" x14ac:dyDescent="0.25">
      <c r="A2" s="37" t="s">
        <v>92</v>
      </c>
      <c r="B2" s="18">
        <v>52.612157996009444</v>
      </c>
      <c r="C2" s="18">
        <v>1043.8999148428754</v>
      </c>
    </row>
    <row r="3" spans="1:3" x14ac:dyDescent="0.25">
      <c r="A3" s="37" t="s">
        <v>93</v>
      </c>
      <c r="B3" s="18">
        <v>50.576032608862185</v>
      </c>
      <c r="C3" s="18">
        <v>914.35106009772358</v>
      </c>
    </row>
    <row r="4" spans="1:3" x14ac:dyDescent="0.25">
      <c r="A4" s="37" t="s">
        <v>94</v>
      </c>
      <c r="B4" s="18">
        <v>11.272711083453153</v>
      </c>
      <c r="C4" s="18">
        <v>495.18505425498194</v>
      </c>
    </row>
    <row r="5" spans="1:3" x14ac:dyDescent="0.25">
      <c r="A5" s="37" t="s">
        <v>95</v>
      </c>
      <c r="B5" s="18">
        <v>6.1632550733379396</v>
      </c>
      <c r="C5" s="18">
        <v>273.73593398792593</v>
      </c>
    </row>
    <row r="6" spans="1:3" x14ac:dyDescent="0.25">
      <c r="A6" s="37" t="s">
        <v>96</v>
      </c>
      <c r="B6" s="18">
        <v>5.0656014818730082</v>
      </c>
      <c r="C6" s="18">
        <v>175.64450711403319</v>
      </c>
    </row>
    <row r="7" spans="1:3" x14ac:dyDescent="0.25">
      <c r="A7" s="37" t="s">
        <v>121</v>
      </c>
      <c r="B7" s="18">
        <v>0</v>
      </c>
      <c r="C7" s="18">
        <v>0</v>
      </c>
    </row>
    <row r="8" spans="1:3" x14ac:dyDescent="0.25">
      <c r="A8" s="37" t="s">
        <v>122</v>
      </c>
      <c r="B8" s="18">
        <v>0</v>
      </c>
      <c r="C8" s="18">
        <v>0</v>
      </c>
    </row>
    <row r="9" spans="1:3" x14ac:dyDescent="0.25">
      <c r="A9" s="37" t="s">
        <v>123</v>
      </c>
      <c r="B9" s="18">
        <v>0</v>
      </c>
      <c r="C9" s="18">
        <v>0</v>
      </c>
    </row>
    <row r="10" spans="1:3" x14ac:dyDescent="0.25">
      <c r="A10" s="38" t="s">
        <v>97</v>
      </c>
      <c r="B10" s="39">
        <v>125.68975824353572</v>
      </c>
      <c r="C10" s="39">
        <v>2902.81647029754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H11"/>
  <sheetViews>
    <sheetView topLeftCell="A7" workbookViewId="0">
      <selection activeCell="A11" sqref="A11"/>
    </sheetView>
  </sheetViews>
  <sheetFormatPr defaultRowHeight="15" x14ac:dyDescent="0.25"/>
  <cols>
    <col min="1" max="1" width="41.42578125" bestFit="1" customWidth="1"/>
    <col min="2" max="2" width="42" customWidth="1"/>
    <col min="4" max="4" width="90.28515625" bestFit="1" customWidth="1"/>
    <col min="5" max="5" width="16.85546875" bestFit="1" customWidth="1"/>
    <col min="7" max="7" width="90.28515625" bestFit="1" customWidth="1"/>
    <col min="8" max="8" width="16.85546875" bestFit="1" customWidth="1"/>
  </cols>
  <sheetData>
    <row r="1" spans="1:8" x14ac:dyDescent="0.25">
      <c r="A1" s="35" t="s">
        <v>100</v>
      </c>
      <c r="D1" s="35" t="s">
        <v>103</v>
      </c>
      <c r="G1" s="35" t="s">
        <v>104</v>
      </c>
    </row>
    <row r="2" spans="1:8" x14ac:dyDescent="0.25">
      <c r="A2" s="48" t="s">
        <v>106</v>
      </c>
      <c r="D2" s="48" t="s">
        <v>107</v>
      </c>
      <c r="G2" s="48" t="s">
        <v>108</v>
      </c>
    </row>
    <row r="3" spans="1:8" x14ac:dyDescent="0.25">
      <c r="A3" s="48" t="s">
        <v>101</v>
      </c>
      <c r="D3" s="48" t="s">
        <v>101</v>
      </c>
      <c r="G3" s="48" t="s">
        <v>109</v>
      </c>
    </row>
    <row r="4" spans="1:8" x14ac:dyDescent="0.25">
      <c r="A4" s="2" t="str">
        <f>"Подзаказ и пополнение СПБ, дата отгрузки "</f>
        <v xml:space="preserve">Подзаказ и пополнение СПБ, дата отгрузки </v>
      </c>
      <c r="B4" s="2">
        <f ca="1">IF(NOW()-TODAY()&lt;0.6,TODAY(),TODAY()+1)</f>
        <v>43414</v>
      </c>
      <c r="D4" s="2" t="str">
        <f>"Подзаказ и пополнение СПБ, дата отгрузки "</f>
        <v xml:space="preserve">Подзаказ и пополнение СПБ, дата отгрузки </v>
      </c>
      <c r="E4" s="2">
        <f ca="1">IF(NOW()-TODAY()&lt;0.6,TODAY(),TODAY()+1)</f>
        <v>43414</v>
      </c>
      <c r="G4" s="2" t="str">
        <f>"Подзаказ и пополнение СПБ, дата отгрузки "</f>
        <v xml:space="preserve">Подзаказ и пополнение СПБ, дата отгрузки </v>
      </c>
      <c r="H4" s="2">
        <f ca="1">IF(NOW()-TODAY()&lt;0.6,TODAY(),TODAY()+1)</f>
        <v>43414</v>
      </c>
    </row>
    <row r="5" spans="1:8" ht="409.5" x14ac:dyDescent="0.25">
      <c r="A5" s="49" t="s">
        <v>111</v>
      </c>
      <c r="B5" s="49" t="s">
        <v>102</v>
      </c>
      <c r="D5" s="49" t="s">
        <v>105</v>
      </c>
      <c r="E5" s="49" t="s">
        <v>105</v>
      </c>
      <c r="G5" s="49" t="s">
        <v>110</v>
      </c>
      <c r="H5" s="49" t="s">
        <v>102</v>
      </c>
    </row>
    <row r="6" spans="1:8" s="51" customFormat="1" x14ac:dyDescent="0.25">
      <c r="A6" s="50"/>
      <c r="D6" s="50"/>
      <c r="G6" s="50"/>
    </row>
    <row r="7" spans="1:8" x14ac:dyDescent="0.25">
      <c r="A7" s="35" t="s">
        <v>100</v>
      </c>
      <c r="D7" s="35" t="s">
        <v>103</v>
      </c>
      <c r="G7" s="35" t="s">
        <v>104</v>
      </c>
    </row>
    <row r="8" spans="1:8" x14ac:dyDescent="0.25">
      <c r="A8" s="48" t="s">
        <v>106</v>
      </c>
      <c r="D8" s="48" t="s">
        <v>107</v>
      </c>
      <c r="G8" s="48" t="s">
        <v>108</v>
      </c>
    </row>
    <row r="9" spans="1:8" x14ac:dyDescent="0.25">
      <c r="A9" s="48" t="s">
        <v>112</v>
      </c>
      <c r="D9" s="48" t="s">
        <v>112</v>
      </c>
      <c r="G9" s="48" t="s">
        <v>117</v>
      </c>
    </row>
    <row r="10" spans="1:8" x14ac:dyDescent="0.25">
      <c r="A10" s="2" t="str">
        <f>"Подзаказ и пополнение СПБ, дата отгрузки "</f>
        <v xml:space="preserve">Подзаказ и пополнение СПБ, дата отгрузки </v>
      </c>
      <c r="B10" s="2">
        <f ca="1">IF(NOW()-TODAY()&lt;0.6,TODAY(),TODAY()+1)</f>
        <v>43414</v>
      </c>
      <c r="D10" s="2" t="str">
        <f>"Подзаказ и пополнение СПБ, дата отгрузки "</f>
        <v xml:space="preserve">Подзаказ и пополнение СПБ, дата отгрузки </v>
      </c>
      <c r="E10" s="2">
        <f ca="1">IF(NOW()-TODAY()&lt;0.6,TODAY(),TODAY()+1)</f>
        <v>43414</v>
      </c>
      <c r="G10" s="2" t="str">
        <f>"Подзаказ и пополнение СПБ, дата отгрузки "</f>
        <v xml:space="preserve">Подзаказ и пополнение СПБ, дата отгрузки </v>
      </c>
      <c r="H10" s="2">
        <f ca="1">IF(NOW()-TODAY()&lt;0.6,TODAY(),TODAY()+1)</f>
        <v>43414</v>
      </c>
    </row>
    <row r="11" spans="1:8" ht="409.5" x14ac:dyDescent="0.25">
      <c r="A11" s="49" t="s">
        <v>113</v>
      </c>
      <c r="B11" s="49" t="s">
        <v>114</v>
      </c>
      <c r="D11" s="49" t="s">
        <v>115</v>
      </c>
      <c r="E11" s="49" t="s">
        <v>115</v>
      </c>
      <c r="G11" s="49" t="s">
        <v>116</v>
      </c>
      <c r="H11" s="49" t="s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Складам</vt:lpstr>
      <vt:lpstr>Шаблон_пополнения</vt:lpstr>
      <vt:lpstr>УК_пополнение</vt:lpstr>
      <vt:lpstr>База</vt:lpstr>
      <vt:lpstr>Квоты</vt:lpstr>
      <vt:lpstr>Адресаты</vt:lpstr>
      <vt:lpstr>Адресаты!_MailAutoSig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2018-11-09T15:32:23Z</dcterms:modified>
</cp:coreProperties>
</file>